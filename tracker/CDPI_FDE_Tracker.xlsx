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DE_Stage_Tracker" sheetId="2" state="visible" r:id="rId2"/>
    <sheet xmlns:r="http://schemas.openxmlformats.org/officeDocument/2006/relationships" name="Feature_Backlog" sheetId="3" state="visible" r:id="rId3"/>
    <sheet xmlns:r="http://schemas.openxmlformats.org/officeDocument/2006/relationships" name="Azure_Service_Mapping" sheetId="4" state="visible" r:id="rId4"/>
    <sheet xmlns:r="http://schemas.openxmlformats.org/officeDocument/2006/relationships" name="KPI_Tracker" sheetId="5" state="visible" r:id="rId5"/>
    <sheet xmlns:r="http://schemas.openxmlformats.org/officeDocument/2006/relationships" name="Security_Remediation_Log" sheetId="6" state="visible" r:id="rId6"/>
    <sheet xmlns:r="http://schemas.openxmlformats.org/officeDocument/2006/relationships" name="Vendor_Risk_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164" fontId="5" fillId="0" borderId="1" pivotButton="0" quotePrefix="0" xfId="0"/>
    <xf numFmtId="0" fontId="4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CDPI — AI FDE Delivery Tracker</t>
        </is>
      </c>
    </row>
    <row r="2">
      <c r="A2" s="2" t="inlineStr">
        <is>
          <t>Cognitive Document Intelligence Platform, mapped to the AI FDE End-to-End Production Delivery Spine</t>
        </is>
      </c>
    </row>
    <row r="4" ht="45" customHeight="1">
      <c r="A4" s="3" t="inlineStr">
        <is>
          <t>Generated from a direct audit of the repository (code read line-by-line, not assumed) plus the attached AI FDE spine PDF. All secrets found hardcoded during the audit were fixed in this same session — see the Security_Remediation_Log tab.</t>
        </is>
      </c>
    </row>
    <row r="6">
      <c r="A6" s="4" t="inlineStr">
        <is>
          <t>Tab</t>
        </is>
      </c>
      <c r="B6" s="4" t="inlineStr">
        <is>
          <t>What's in it</t>
        </is>
      </c>
      <c r="C6" s="5" t="n"/>
      <c r="D6" s="5" t="n"/>
      <c r="E6" s="5" t="n"/>
      <c r="F6" s="5" t="n"/>
    </row>
    <row r="7">
      <c r="A7" s="6" t="inlineStr">
        <is>
          <t>FDE_Stage_Tracker</t>
        </is>
      </c>
      <c r="B7" s="7" t="inlineStr">
        <is>
          <t>All 42 stages of the FDE spine mapped to CDPI's actual current state, target state, owner, and Azure service(s).</t>
        </is>
      </c>
      <c r="C7" s="5" t="n"/>
      <c r="D7" s="5" t="n"/>
      <c r="E7" s="5" t="n"/>
      <c r="F7" s="5" t="n"/>
    </row>
    <row r="8">
      <c r="A8" s="6" t="inlineStr">
        <is>
          <t>Feature_Backlog</t>
        </is>
      </c>
      <c r="B8" s="7" t="inlineStr">
        <is>
          <t>18 stand-out features to build, prioritized, with Azure services and effort.</t>
        </is>
      </c>
      <c r="C8" s="5" t="n"/>
      <c r="D8" s="5" t="n"/>
      <c r="E8" s="5" t="n"/>
      <c r="F8" s="5" t="n"/>
    </row>
    <row r="9">
      <c r="A9" s="6" t="inlineStr">
        <is>
          <t>Azure_Service_Mapping</t>
        </is>
      </c>
      <c r="B9" s="7" t="inlineStr">
        <is>
          <t>Every brownfield component mapped 1:1 to its Azure replacement, with cost tier and Azure-for-Students availability.</t>
        </is>
      </c>
      <c r="C9" s="5" t="n"/>
      <c r="D9" s="5" t="n"/>
      <c r="E9" s="5" t="n"/>
      <c r="F9" s="5" t="n"/>
    </row>
    <row r="10">
      <c r="A10" s="6" t="inlineStr">
        <is>
          <t>KPI_Tracker</t>
        </is>
      </c>
      <c r="B10" s="7" t="inlineStr">
        <is>
          <t>Before/after KPI framework (per FDE spine Section 3), adapted to CDPI. Most 'Before' values are 'Not yet measured' — no baseline exists today.</t>
        </is>
      </c>
      <c r="C10" s="5" t="n"/>
      <c r="D10" s="5" t="n"/>
      <c r="E10" s="5" t="n"/>
      <c r="F10" s="5" t="n"/>
    </row>
    <row r="11">
      <c r="A11" s="6" t="inlineStr">
        <is>
          <t>Security_Remediation_Log</t>
        </is>
      </c>
      <c r="B11" s="7" t="inlineStr">
        <is>
          <t>The secrets found and fixed in this session, plus what's still open (git history).</t>
        </is>
      </c>
      <c r="C11" s="5" t="n"/>
      <c r="D11" s="5" t="n"/>
      <c r="E11" s="5" t="n"/>
      <c r="F11" s="5" t="n"/>
    </row>
    <row r="12">
      <c r="A12" s="6" t="inlineStr">
        <is>
          <t>Vendor_Risk_Register</t>
        </is>
      </c>
      <c r="B12" s="7" t="inlineStr">
        <is>
          <t>Third-party dependencies (OpenAI, ElevenLabs, Google Speech, n8n, Gmail) and concentration risk.</t>
        </is>
      </c>
      <c r="C12" s="5" t="n"/>
      <c r="D12" s="5" t="n"/>
      <c r="E12" s="5" t="n"/>
      <c r="F12" s="5" t="n"/>
    </row>
    <row r="15">
      <c r="A15" s="8" t="inlineStr">
        <is>
          <t>Live summary (reads from FDE_Stage_Tracker)</t>
        </is>
      </c>
    </row>
    <row r="16">
      <c r="A16" s="9" t="inlineStr">
        <is>
          <t>Total stages</t>
        </is>
      </c>
      <c r="B16" s="6">
        <f>COUNTA(FDE_Stage_Tracker!A3:A44)</f>
        <v/>
      </c>
    </row>
    <row r="17">
      <c r="A17" s="9" t="inlineStr">
        <is>
          <t>Done</t>
        </is>
      </c>
      <c r="B17" s="6">
        <f>COUNTIF(FDE_Stage_Tracker!G3:G44,"Done")</f>
        <v/>
      </c>
    </row>
    <row r="18">
      <c r="A18" s="9" t="inlineStr">
        <is>
          <t>In Progress</t>
        </is>
      </c>
      <c r="B18" s="6">
        <f>COUNTIF(FDE_Stage_Tracker!G3:G44,"In Progress")</f>
        <v/>
      </c>
    </row>
    <row r="19">
      <c r="A19" s="9" t="inlineStr">
        <is>
          <t>Not Started</t>
        </is>
      </c>
      <c r="B19" s="6">
        <f>COUNTIF(FDE_Stage_Tracker!G3:G44,"Not Started")</f>
        <v/>
      </c>
    </row>
    <row r="20">
      <c r="A20" s="9" t="inlineStr">
        <is>
          <t>% Complete</t>
        </is>
      </c>
      <c r="B20" s="10">
        <f>B17/B16</f>
        <v/>
      </c>
    </row>
  </sheetData>
  <mergeCells count="8">
    <mergeCell ref="A4:H4"/>
    <mergeCell ref="B12:F12"/>
    <mergeCell ref="B7:F7"/>
    <mergeCell ref="B6:F6"/>
    <mergeCell ref="B10:F10"/>
    <mergeCell ref="B11:F11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48" customWidth="1" min="3" max="3"/>
    <col width="48" customWidth="1" min="4" max="4"/>
    <col width="15" customWidth="1" min="5" max="5"/>
    <col width="12" customWidth="1" min="6" max="6"/>
    <col width="26" customWidth="1" min="7" max="7"/>
  </cols>
  <sheetData>
    <row r="1">
      <c r="A1" s="1" t="inlineStr">
        <is>
          <t>FDE Stage Tracker</t>
        </is>
      </c>
    </row>
    <row r="2">
      <c r="A2" s="2" t="inlineStr">
        <is>
          <t>42-stage AI FDE spine mapped to CDPI's current state</t>
        </is>
      </c>
    </row>
    <row r="3">
      <c r="A3" s="11" t="inlineStr">
        <is>
          <t>#</t>
        </is>
      </c>
      <c r="B3" s="11" t="inlineStr">
        <is>
          <t>Stage</t>
        </is>
      </c>
      <c r="C3" s="11" t="inlineStr">
        <is>
          <t>Current State in CDPI</t>
        </is>
      </c>
      <c r="D3" s="11" t="inlineStr">
        <is>
          <t>Target State / Action</t>
        </is>
      </c>
      <c r="E3" s="11" t="inlineStr">
        <is>
          <t>Status</t>
        </is>
      </c>
      <c r="F3" s="11" t="inlineStr">
        <is>
          <t>Owner</t>
        </is>
      </c>
      <c r="G3" s="11" t="inlineStr">
        <is>
          <t>Azure Service(s)</t>
        </is>
      </c>
    </row>
    <row r="4" ht="60" customHeight="1">
      <c r="A4" s="7" t="n">
        <v>1</v>
      </c>
      <c r="B4" s="7" t="inlineStr">
        <is>
          <t>Engage &amp; Qualify</t>
        </is>
      </c>
      <c r="C4" s="7" t="inlineStr">
        <is>
          <t>Undocumented ownership — informal 'Group 3' B.E. project team, no named sponsor.</t>
        </is>
      </c>
      <c r="D4" s="7" t="inlineStr">
        <is>
          <t>Define sponsor/owner, scope doc, engagement boundaries.</t>
        </is>
      </c>
      <c r="E4" s="12" t="inlineStr">
        <is>
          <t>Not Started</t>
        </is>
      </c>
      <c r="F4" s="7" t="inlineStr">
        <is>
          <t>Aditya</t>
        </is>
      </c>
      <c r="G4" s="7" t="inlineStr">
        <is>
          <t>—</t>
        </is>
      </c>
    </row>
    <row r="5" ht="60" customHeight="1">
      <c r="A5" s="7" t="n">
        <v>2</v>
      </c>
      <c r="B5" s="7" t="inlineStr">
        <is>
          <t>Stakeholder Discovery</t>
        </is>
      </c>
      <c r="C5" s="7" t="inlineStr">
        <is>
          <t>No stakeholder map — TA/business lead/tech eval are just email recipient roles in config.</t>
        </is>
      </c>
      <c r="D5" s="7" t="inlineStr">
        <is>
          <t>Document roles: HR/TA, hiring manager, candidate, dev owner.</t>
        </is>
      </c>
      <c r="E5" s="12" t="inlineStr">
        <is>
          <t>Not Started</t>
        </is>
      </c>
      <c r="F5" s="7" t="inlineStr">
        <is>
          <t>Aditya</t>
        </is>
      </c>
      <c r="G5" s="7" t="inlineStr">
        <is>
          <t>Entra ID (roles)</t>
        </is>
      </c>
    </row>
    <row r="6" ht="60" customHeight="1">
      <c r="A6" s="7" t="n">
        <v>3</v>
      </c>
      <c r="B6" s="7" t="inlineStr">
        <is>
          <t>Frame Problem &amp; Value</t>
        </is>
      </c>
      <c r="C6" s="7" t="inlineStr">
        <is>
          <t>Problem is implicit: speed up resume screening. No written problem statement.</t>
        </is>
      </c>
      <c r="D6" s="7" t="inlineStr">
        <is>
          <t>Write problem statement + success criteria.</t>
        </is>
      </c>
      <c r="E6" s="12" t="inlineStr">
        <is>
          <t>Not Started</t>
        </is>
      </c>
      <c r="F6" s="7" t="inlineStr">
        <is>
          <t>Aditya</t>
        </is>
      </c>
      <c r="G6" s="7" t="inlineStr">
        <is>
          <t>—</t>
        </is>
      </c>
    </row>
    <row r="7" ht="60" customHeight="1">
      <c r="A7" s="7" t="n">
        <v>4</v>
      </c>
      <c r="B7" s="7" t="inlineStr">
        <is>
          <t>Capture Before-AI KPIs</t>
        </is>
      </c>
      <c r="C7" s="7" t="inlineStr">
        <is>
          <t>No baseline captured anywhere — no cycle time, cost/hire, or error-rate data exists.</t>
        </is>
      </c>
      <c r="D7" s="7" t="inlineStr">
        <is>
          <t>Baseline: manual screening time/resume, cost/hire, before building more features.</t>
        </is>
      </c>
      <c r="E7" s="12" t="inlineStr">
        <is>
          <t>Not Started</t>
        </is>
      </c>
      <c r="F7" s="7" t="inlineStr">
        <is>
          <t>Aditya</t>
        </is>
      </c>
      <c r="G7" s="7" t="inlineStr">
        <is>
          <t>Azure Monitor (future)</t>
        </is>
      </c>
    </row>
    <row r="8" ht="60" customHeight="1">
      <c r="A8" s="7" t="n">
        <v>5</v>
      </c>
      <c r="B8" s="7" t="inlineStr">
        <is>
          <t>Discover Current Process &amp; Brownfield Landscape</t>
        </is>
      </c>
      <c r="C8" s="7" t="inlineStr">
        <is>
          <t>Done in this session — full code audit (7 LLM call sites, 5 hardcoded secrets, no tests, no CI).</t>
        </is>
      </c>
      <c r="D8" s="7" t="inlineStr">
        <is>
          <t>Documented in this tracker.</t>
        </is>
      </c>
      <c r="E8" s="13" t="inlineStr">
        <is>
          <t>Done</t>
        </is>
      </c>
      <c r="F8" s="7" t="inlineStr">
        <is>
          <t>Claude/Aditya</t>
        </is>
      </c>
      <c r="G8" s="7" t="inlineStr">
        <is>
          <t>—</t>
        </is>
      </c>
    </row>
    <row r="9" ht="60" customHeight="1">
      <c r="A9" s="7" t="n">
        <v>6</v>
      </c>
      <c r="B9" s="7" t="inlineStr">
        <is>
          <t>Root-Cause Analysis</t>
        </is>
      </c>
      <c r="C9" s="7" t="inlineStr">
        <is>
          <t>Manual screening is slow/inconsistent; root cause = no structured data store, no semantic matching.</t>
        </is>
      </c>
      <c r="D9" s="7" t="inlineStr">
        <is>
          <t>Write a 5-Whys doc for each pain point.</t>
        </is>
      </c>
      <c r="E9" s="14" t="inlineStr">
        <is>
          <t>In Progress</t>
        </is>
      </c>
      <c r="F9" s="7" t="inlineStr">
        <is>
          <t>Aditya</t>
        </is>
      </c>
      <c r="G9" s="7" t="inlineStr">
        <is>
          <t>—</t>
        </is>
      </c>
    </row>
    <row r="10" ht="60" customHeight="1">
      <c r="A10" s="7" t="n">
        <v>7</v>
      </c>
      <c r="B10" s="7" t="inlineStr">
        <is>
          <t>Assess the "Bad" Brownfield Repo</t>
        </is>
      </c>
      <c r="C10" s="7" t="inlineStr">
        <is>
          <t>Flat-file storage, 5 hardcoded secrets (now fixed), subprocess-chained scripts, zero tests, no CI, no requirements.txt (now added).</t>
        </is>
      </c>
      <c r="D10" s="7" t="inlineStr">
        <is>
          <t>See Security_Remediation_Log + Azure_Service_Mapping.</t>
        </is>
      </c>
      <c r="E10" s="7" t="inlineStr">
        <is>
          <t>Done (assessment)</t>
        </is>
      </c>
      <c r="F10" s="7" t="inlineStr">
        <is>
          <t>Claude</t>
        </is>
      </c>
      <c r="G10" s="7" t="inlineStr">
        <is>
          <t>—</t>
        </is>
      </c>
    </row>
    <row r="11" ht="60" customHeight="1">
      <c r="A11" s="7" t="n">
        <v>8</v>
      </c>
      <c r="B11" s="7" t="inlineStr">
        <is>
          <t>AI-vs-No-AI Qualification</t>
        </is>
      </c>
      <c r="C11" s="7" t="inlineStr">
        <is>
          <t>GenAI used for parsing/scoring/questions (justified — unstructured text); rule-based tiering (justified — deterministic); voicebot follow-ups (reconsider — could be scripted/cheaper).</t>
        </is>
      </c>
      <c r="D11" s="7" t="inlineStr">
        <is>
          <t>Document a per-feature AI/no-AI decision log.</t>
        </is>
      </c>
      <c r="E11" s="14" t="inlineStr">
        <is>
          <t>In Progress</t>
        </is>
      </c>
      <c r="F11" s="7" t="inlineStr">
        <is>
          <t>Aditya</t>
        </is>
      </c>
      <c r="G11" s="7" t="inlineStr">
        <is>
          <t>—</t>
        </is>
      </c>
    </row>
    <row r="12" ht="60" customHeight="1">
      <c r="A12" s="7" t="n">
        <v>9</v>
      </c>
      <c r="B12" s="7" t="inlineStr">
        <is>
          <t>Define Initial PRD / Product Intent</t>
        </is>
      </c>
      <c r="C12" s="7" t="inlineStr">
        <is>
          <t>README.md is the closest thing to a PRD today; no personas, no formal release hypothesis.</t>
        </is>
      </c>
      <c r="D12" s="7" t="inlineStr">
        <is>
          <t>Formalize a PRD including the dashboard + WhatsApp-replacement scope.</t>
        </is>
      </c>
      <c r="E12" s="12" t="inlineStr">
        <is>
          <t>Not Started</t>
        </is>
      </c>
      <c r="F12" s="7" t="inlineStr">
        <is>
          <t>Aditya</t>
        </is>
      </c>
      <c r="G12" s="7" t="inlineStr">
        <is>
          <t>—</t>
        </is>
      </c>
    </row>
    <row r="13" ht="60" customHeight="1">
      <c r="A13" s="7" t="n">
        <v>10</v>
      </c>
      <c r="B13" s="7" t="inlineStr">
        <is>
          <t>Choose Target Architecture + ADRs</t>
        </is>
      </c>
      <c r="C13" s="7" t="inlineStr">
        <is>
          <t>No target architecture or ADRs exist.</t>
        </is>
      </c>
      <c r="D13" s="7" t="inlineStr">
        <is>
          <t>This workbook's Azure_Service_Mapping sheet + the architecture diagram are the first ADR-equivalent.</t>
        </is>
      </c>
      <c r="E13" s="14" t="inlineStr">
        <is>
          <t>In Progress</t>
        </is>
      </c>
      <c r="F13" s="7" t="inlineStr">
        <is>
          <t>Aditya</t>
        </is>
      </c>
      <c r="G13" s="7" t="inlineStr">
        <is>
          <t>Multiple — see Azure_Service_Mapping</t>
        </is>
      </c>
    </row>
    <row r="14" ht="60" customHeight="1">
      <c r="A14" s="7" t="n">
        <v>11</v>
      </c>
      <c r="B14" s="7" t="inlineStr">
        <is>
          <t>Define Data, Knowledge &amp; Context Strategy</t>
        </is>
      </c>
      <c r="C14" s="7" t="inlineStr">
        <is>
          <t>No data contracts; flat CSV/JSON files with no schema, no lineage, no retrieval layer.</t>
        </is>
      </c>
      <c r="D14" s="7" t="inlineStr">
        <is>
          <t>/context-lake scaffolding created this session (schemas + container design).</t>
        </is>
      </c>
      <c r="E14" s="14" t="inlineStr">
        <is>
          <t>In Progress</t>
        </is>
      </c>
      <c r="F14" s="7" t="inlineStr">
        <is>
          <t>Claude</t>
        </is>
      </c>
      <c r="G14" s="7" t="inlineStr">
        <is>
          <t>Cosmos DB, Blob Storage</t>
        </is>
      </c>
    </row>
    <row r="15" ht="60" customHeight="1">
      <c r="A15" s="7" t="n">
        <v>12</v>
      </c>
      <c r="B15" s="7" t="inlineStr">
        <is>
          <t>Spec-Driven Design</t>
        </is>
      </c>
      <c r="C15" s="7" t="inlineStr">
        <is>
          <t>Code-first throughout — no specs written before implementation anywhere in the repo.</t>
        </is>
      </c>
      <c r="D15" s="7" t="inlineStr">
        <is>
          <t>Write specs for the dashboard + semantic search before building either.</t>
        </is>
      </c>
      <c r="E15" s="12" t="inlineStr">
        <is>
          <t>Not Started</t>
        </is>
      </c>
      <c r="F15" s="7" t="inlineStr">
        <is>
          <t>Aditya</t>
        </is>
      </c>
      <c r="G15" s="7" t="inlineStr">
        <is>
          <t>—</t>
        </is>
      </c>
    </row>
    <row r="16" ht="60" customHeight="1">
      <c r="A16" s="7" t="n">
        <v>13</v>
      </c>
      <c r="B16" s="7" t="inlineStr">
        <is>
          <t>Requirements → Specs → Tests → Evidence Traceability</t>
        </is>
      </c>
      <c r="C16" s="7" t="inlineStr">
        <is>
          <t>No traceability matrix; zero automated tests found anywhere in the repo.</t>
        </is>
      </c>
      <c r="D16" s="7" t="inlineStr">
        <is>
          <t>This tracker is the first traceability artifact — extend it per feature as built.</t>
        </is>
      </c>
      <c r="E16" s="12" t="inlineStr">
        <is>
          <t>Not Started</t>
        </is>
      </c>
      <c r="F16" s="7" t="inlineStr">
        <is>
          <t>Aditya</t>
        </is>
      </c>
      <c r="G16" s="7" t="inlineStr">
        <is>
          <t>—</t>
        </is>
      </c>
    </row>
    <row r="17" ht="60" customHeight="1">
      <c r="A17" s="7" t="n">
        <v>14</v>
      </c>
      <c r="B17" s="7" t="inlineStr">
        <is>
          <t>Create Transformation / Migration Plan</t>
        </is>
      </c>
      <c r="C17" s="7" t="inlineStr">
        <is>
          <t>No migration plan exists; brownfield components have no documented path to target state.</t>
        </is>
      </c>
      <c r="D17" s="7" t="inlineStr">
        <is>
          <t>Azure_Service_Mapping sheet serves as the migration plan (component-by-component).</t>
        </is>
      </c>
      <c r="E17" s="14" t="inlineStr">
        <is>
          <t>In Progress</t>
        </is>
      </c>
      <c r="F17" s="7" t="inlineStr">
        <is>
          <t>Claude</t>
        </is>
      </c>
      <c r="G17" s="7" t="inlineStr">
        <is>
          <t>—</t>
        </is>
      </c>
    </row>
    <row r="18" ht="60" customHeight="1">
      <c r="A18" s="7" t="n">
        <v>15</v>
      </c>
      <c r="B18" s="7" t="inlineStr">
        <is>
          <t>Transform Bad Repo → Good Repo</t>
        </is>
      </c>
      <c r="C18" s="7" t="inlineStr">
        <is>
          <t>Secrets removed from code this session; still no package structure, no shared app/service layer, no tests.</t>
        </is>
      </c>
      <c r="D18" s="7" t="inlineStr">
        <is>
          <t>Refactor scripts into packages, add pytest, add CI.</t>
        </is>
      </c>
      <c r="E18" s="14" t="inlineStr">
        <is>
          <t>In Progress</t>
        </is>
      </c>
      <c r="F18" s="7" t="inlineStr">
        <is>
          <t>Aditya</t>
        </is>
      </c>
      <c r="G18" s="7" t="inlineStr">
        <is>
          <t>GitHub Actions</t>
        </is>
      </c>
    </row>
    <row r="19" ht="60" customHeight="1">
      <c r="A19" s="7" t="n">
        <v>16</v>
      </c>
      <c r="B19" s="7" t="inlineStr">
        <is>
          <t>Validate the Good Repo</t>
        </is>
      </c>
      <c r="C19" s="7" t="inlineStr">
        <is>
          <t>No quality gate exists yet.</t>
        </is>
      </c>
      <c r="D19" s="7" t="inlineStr">
        <is>
          <t>Add pytest + lint + security scan (e.g. Bandit/Trivy) as a merge gate.</t>
        </is>
      </c>
      <c r="E19" s="12" t="inlineStr">
        <is>
          <t>Not Started</t>
        </is>
      </c>
      <c r="F19" s="7" t="inlineStr">
        <is>
          <t>Aditya</t>
        </is>
      </c>
      <c r="G19" s="7" t="inlineStr">
        <is>
          <t>GitHub Actions, Defender for Cloud</t>
        </is>
      </c>
    </row>
    <row r="20" ht="60" customHeight="1">
      <c r="A20" s="7" t="n">
        <v>17</v>
      </c>
      <c r="B20" s="7" t="inlineStr">
        <is>
          <t>Refine / Finalise PRD</t>
        </is>
      </c>
      <c r="C20" s="7" t="inlineStr">
        <is>
          <t>N/A until target architecture is locked.</t>
        </is>
      </c>
      <c r="D20" s="7" t="inlineStr">
        <is>
          <t>Revisit after Stage 10/12 land.</t>
        </is>
      </c>
      <c r="E20" s="12" t="inlineStr">
        <is>
          <t>Not Started</t>
        </is>
      </c>
      <c r="F20" s="7" t="inlineStr">
        <is>
          <t>Aditya</t>
        </is>
      </c>
      <c r="G20" s="7" t="inlineStr">
        <is>
          <t>—</t>
        </is>
      </c>
    </row>
    <row r="21" ht="60" customHeight="1">
      <c r="A21" s="7" t="n">
        <v>18</v>
      </c>
      <c r="B21" s="7" t="inlineStr">
        <is>
          <t>Plan Evidence-Driven Delivery</t>
        </is>
      </c>
      <c r="C21" s="7" t="inlineStr">
        <is>
          <t>No formal backlog existed before this session.</t>
        </is>
      </c>
      <c r="D21" s="7" t="inlineStr">
        <is>
          <t>Feature_Backlog sheet in this workbook is the first sprint-ready backlog.</t>
        </is>
      </c>
      <c r="E21" s="7" t="inlineStr">
        <is>
          <t>Done (backlog)</t>
        </is>
      </c>
      <c r="F21" s="7" t="inlineStr">
        <is>
          <t>Aditya</t>
        </is>
      </c>
      <c r="G21" s="7" t="inlineStr">
        <is>
          <t>Azure Boards (optional)</t>
        </is>
      </c>
    </row>
    <row r="22" ht="60" customHeight="1">
      <c r="A22" s="7" t="n">
        <v>19</v>
      </c>
      <c r="B22" s="7" t="inlineStr">
        <is>
          <t>Build Intelligence Core</t>
        </is>
      </c>
      <c r="C22" s="7" t="inlineStr">
        <is>
          <t>7 LLM prompts live (GPT-3.5-turbo via LangChain), zero embeddings/RAG/retrieval anywhere.</t>
        </is>
      </c>
      <c r="D22" s="7" t="inlineStr">
        <is>
          <t>/prompts library created (versioned, exact source text) this session; /semantic-library designed.</t>
        </is>
      </c>
      <c r="E22" s="14" t="inlineStr">
        <is>
          <t>In Progress</t>
        </is>
      </c>
      <c r="F22" s="7" t="inlineStr">
        <is>
          <t>Claude</t>
        </is>
      </c>
      <c r="G22" s="7" t="inlineStr">
        <is>
          <t>Azure AI Foundry, Azure AI Search</t>
        </is>
      </c>
    </row>
    <row r="23" ht="60" customHeight="1">
      <c r="A23" s="7" t="n">
        <v>20</v>
      </c>
      <c r="B23" s="7" t="inlineStr">
        <is>
          <t>Build Application &amp; Services</t>
        </is>
      </c>
      <c r="C23" s="7" t="inlineStr">
        <is>
          <t>7 standalone scripts chained via subprocess; no shared API layer; no frontend exists.</t>
        </is>
      </c>
      <c r="D23" s="7" t="inlineStr">
        <is>
          <t>Build an API layer (FastAPI/Azure Functions) + the requested frontend dashboard.</t>
        </is>
      </c>
      <c r="E23" s="12" t="inlineStr">
        <is>
          <t>Not Started</t>
        </is>
      </c>
      <c r="F23" s="7" t="inlineStr">
        <is>
          <t>Aditya</t>
        </is>
      </c>
      <c r="G23" s="7" t="inlineStr">
        <is>
          <t>Azure Functions, Azure Static Web Apps</t>
        </is>
      </c>
    </row>
    <row r="24" ht="60" customHeight="1">
      <c r="A24" s="7" t="n">
        <v>21</v>
      </c>
      <c r="B24" s="7" t="inlineStr">
        <is>
          <t>Integrate with Enterprise Systems</t>
        </is>
      </c>
      <c r="C24" s="7" t="inlineStr">
        <is>
          <t>Gmail IMAP polling every 60s, SMTP sending, scripts invoked via subprocess.call.</t>
        </is>
      </c>
      <c r="D24" s="7" t="inlineStr">
        <is>
          <t>Event-driven integration: Blob trigger, Logic Apps connectors instead of polling.</t>
        </is>
      </c>
      <c r="E24" s="12" t="inlineStr">
        <is>
          <t>Not Started</t>
        </is>
      </c>
      <c r="F24" s="7" t="inlineStr">
        <is>
          <t>Aditya</t>
        </is>
      </c>
      <c r="G24" s="7" t="inlineStr">
        <is>
          <t>Azure Event Grid, Logic Apps</t>
        </is>
      </c>
    </row>
    <row r="25" ht="60" customHeight="1">
      <c r="A25" s="7" t="n">
        <v>22</v>
      </c>
      <c r="B25" s="7" t="inlineStr">
        <is>
          <t>Engineer Agent / Tool / Decision Intelligence</t>
        </is>
      </c>
      <c r="C25" s="7" t="inlineStr">
        <is>
          <t>Rule-based tiering (top/mid/bottom 25%) in ResumeMEtrics.py; no agent or tool-calling anywhere.</t>
        </is>
      </c>
      <c r="D25" s="7" t="inlineStr">
        <is>
          <t>Keep deterministic tiering as-is; add bounded tool-calling only for semantic-search queries.</t>
        </is>
      </c>
      <c r="E25" s="12" t="inlineStr">
        <is>
          <t>Not Started</t>
        </is>
      </c>
      <c r="F25" s="7" t="inlineStr">
        <is>
          <t>Aditya</t>
        </is>
      </c>
      <c r="G25" s="7" t="inlineStr">
        <is>
          <t>—</t>
        </is>
      </c>
    </row>
    <row r="26" ht="60" customHeight="1">
      <c r="A26" s="7" t="n">
        <v>23</v>
      </c>
      <c r="B26" s="7" t="inlineStr">
        <is>
          <t>Engineer HITL + Deterministic Control Boundaries</t>
        </is>
      </c>
      <c r="C26" s="7" t="inlineStr">
        <is>
          <t>"To be Considered" tier is de-facto HITL today, but informal — just an emailed CSV.</t>
        </is>
      </c>
      <c r="D26" s="7" t="inlineStr">
        <is>
          <t>Formal review queue in the dashboard (approve/reject UI, logged decision).</t>
        </is>
      </c>
      <c r="E26" s="12" t="inlineStr">
        <is>
          <t>Not Started</t>
        </is>
      </c>
      <c r="F26" s="7" t="inlineStr">
        <is>
          <t>Aditya</t>
        </is>
      </c>
      <c r="G26" s="7" t="inlineStr">
        <is>
          <t>—</t>
        </is>
      </c>
    </row>
    <row r="27" ht="60" customHeight="1">
      <c r="A27" s="7" t="n">
        <v>24</v>
      </c>
      <c r="B27" s="7" t="inlineStr">
        <is>
          <t>Security + Privacy + Responsible AI by Design</t>
        </is>
      </c>
      <c r="C27" s="7" t="inlineStr">
        <is>
          <t>5 hardcoded secrets found &amp; fixed this session; resume PII stored unencrypted on local disk/in CSV; scoring-weight fairness never reviewed.</t>
        </is>
      </c>
      <c r="D27" s="7" t="inlineStr">
        <is>
          <t>Key Vault for all secrets; encryption at rest (Blob/Cosmos default); fairness review of scoring_config.json weights.</t>
        </is>
      </c>
      <c r="E27" s="14" t="inlineStr">
        <is>
          <t>In Progress</t>
        </is>
      </c>
      <c r="F27" s="7" t="inlineStr">
        <is>
          <t>Claude/Aditya</t>
        </is>
      </c>
      <c r="G27" s="7" t="inlineStr">
        <is>
          <t>Azure Key Vault</t>
        </is>
      </c>
    </row>
    <row r="28" ht="60" customHeight="1">
      <c r="A28" s="7" t="n">
        <v>25</v>
      </c>
      <c r="B28" s="7" t="inlineStr">
        <is>
          <t>Governance + Compliance + Assurance</t>
        </is>
      </c>
      <c r="C28" s="7" t="inlineStr">
        <is>
          <t>No AI registry, no model card, no compliance mapping exists.</t>
        </is>
      </c>
      <c r="D28" s="7" t="inlineStr">
        <is>
          <t>Write a model card for the scoring logic + voicebot scoring prompt.</t>
        </is>
      </c>
      <c r="E28" s="12" t="inlineStr">
        <is>
          <t>Not Started</t>
        </is>
      </c>
      <c r="F28" s="7" t="inlineStr">
        <is>
          <t>Aditya</t>
        </is>
      </c>
      <c r="G28" s="7" t="inlineStr">
        <is>
          <t>—</t>
        </is>
      </c>
    </row>
    <row r="29" ht="60" customHeight="1">
      <c r="A29" s="7" t="n">
        <v>26</v>
      </c>
      <c r="B29" s="7" t="inlineStr">
        <is>
          <t>TEVV + AI Red Teaming</t>
        </is>
      </c>
      <c r="C29" s="7" t="inlineStr">
        <is>
          <t>Zero automated tests of any kind confirmed in the audit — no golden/edge/adversarial cases.</t>
        </is>
      </c>
      <c r="D29" s="7" t="inlineStr">
        <is>
          <t>Build a golden/edge/adversarial resume test set before any further AI feature work.</t>
        </is>
      </c>
      <c r="E29" s="12" t="inlineStr">
        <is>
          <t>Not Started</t>
        </is>
      </c>
      <c r="F29" s="7" t="inlineStr">
        <is>
          <t>Aditya</t>
        </is>
      </c>
      <c r="G29" s="7" t="inlineStr">
        <is>
          <t>—</t>
        </is>
      </c>
    </row>
    <row r="30" ht="60" customHeight="1">
      <c r="A30" s="7" t="n">
        <v>27</v>
      </c>
      <c r="B30" s="7" t="inlineStr">
        <is>
          <t>Production Harden</t>
        </is>
      </c>
      <c r="C30" s="7" t="inlineStr">
        <is>
          <t>No IaC, no CI/CD, no RBAC anywhere; secrets were in source until this session.</t>
        </is>
      </c>
      <c r="D30" s="7" t="inlineStr">
        <is>
          <t>Bicep/Terraform + GitHub Actions + Entra ID RBAC.</t>
        </is>
      </c>
      <c r="E30" s="12" t="inlineStr">
        <is>
          <t>Not Started</t>
        </is>
      </c>
      <c r="F30" s="7" t="inlineStr">
        <is>
          <t>Aditya</t>
        </is>
      </c>
      <c r="G30" s="7" t="inlineStr">
        <is>
          <t>Bicep, GitHub Actions</t>
        </is>
      </c>
    </row>
    <row r="31" ht="60" customHeight="1">
      <c r="A31" s="7" t="n">
        <v>28</v>
      </c>
      <c r="B31" s="7" t="inlineStr">
        <is>
          <t>Engineer Reliability &amp; Resilience</t>
        </is>
      </c>
      <c r="C31" s="7" t="inlineStr">
        <is>
          <t>Single bare try/except per LLM call site, no retry/backoff, no fallback model, no circuit breaker.</t>
        </is>
      </c>
      <c r="D31" s="7" t="inlineStr">
        <is>
          <t>Add retry+backoff, a fallback model, and an AI-disabled degraded mode.</t>
        </is>
      </c>
      <c r="E31" s="12" t="inlineStr">
        <is>
          <t>Not Started</t>
        </is>
      </c>
      <c r="F31" s="7" t="inlineStr">
        <is>
          <t>Aditya</t>
        </is>
      </c>
      <c r="G31" s="7" t="inlineStr">
        <is>
          <t>—</t>
        </is>
      </c>
    </row>
    <row r="32" ht="60" customHeight="1">
      <c r="A32" s="7" t="n">
        <v>29</v>
      </c>
      <c r="B32" s="7" t="inlineStr">
        <is>
          <t>AI Incident Response + BC/DR</t>
        </is>
      </c>
      <c r="C32" s="7" t="inlineStr">
        <is>
          <t>No AI incident playbook exists; hallucination/prompt-injection/outage scenarios undocumented.</t>
        </is>
      </c>
      <c r="D32" s="7" t="inlineStr">
        <is>
          <t>Define a playbook for hallucination, prompt injection, and provider outage.</t>
        </is>
      </c>
      <c r="E32" s="12" t="inlineStr">
        <is>
          <t>Not Started</t>
        </is>
      </c>
      <c r="F32" s="7" t="inlineStr">
        <is>
          <t>Aditya</t>
        </is>
      </c>
      <c r="G32" s="7" t="inlineStr">
        <is>
          <t>—</t>
        </is>
      </c>
    </row>
    <row r="33" ht="60" customHeight="1">
      <c r="A33" s="7" t="n">
        <v>30</v>
      </c>
      <c r="B33" s="7" t="inlineStr">
        <is>
          <t>Release / Cutover / Rollback</t>
        </is>
      </c>
      <c r="C33" s="7" t="inlineStr">
        <is>
          <t>No deployment exists at all today — everything runs locally.</t>
        </is>
      </c>
      <c r="D33" s="7" t="inlineStr">
        <is>
          <t>Stage the rollout: Blob/Cosmos first (lowest risk), then compute, then frontend.</t>
        </is>
      </c>
      <c r="E33" s="12" t="inlineStr">
        <is>
          <t>Not Started</t>
        </is>
      </c>
      <c r="F33" s="7" t="inlineStr">
        <is>
          <t>Aditya</t>
        </is>
      </c>
      <c r="G33" s="7" t="inlineStr">
        <is>
          <t>—</t>
        </is>
      </c>
    </row>
    <row r="34" ht="60" customHeight="1">
      <c r="A34" s="7" t="n">
        <v>31</v>
      </c>
      <c r="B34" s="7" t="inlineStr">
        <is>
          <t>Observability + SLO/SLA Engineering</t>
        </is>
      </c>
      <c r="C34" s="7" t="inlineStr">
        <is>
          <t>log.txt is 20,000+ lines of freeform text; no metrics, traces, or alerts anywhere.</t>
        </is>
      </c>
      <c r="D34" s="7" t="inlineStr">
        <is>
          <t>Application Insights + dashboards — this also becomes the frontend dashboard's data source.</t>
        </is>
      </c>
      <c r="E34" s="12" t="inlineStr">
        <is>
          <t>Not Started</t>
        </is>
      </c>
      <c r="F34" s="7" t="inlineStr">
        <is>
          <t>Aditya</t>
        </is>
      </c>
      <c r="G34" s="7" t="inlineStr">
        <is>
          <t>Azure Monitor, App Insights</t>
        </is>
      </c>
    </row>
    <row r="35" ht="60" customHeight="1">
      <c r="A35" s="7" t="n">
        <v>32</v>
      </c>
      <c r="B35" s="7" t="inlineStr">
        <is>
          <t>Token Economics + AI FinOps + TCO</t>
        </is>
      </c>
      <c r="C35" s="7" t="inlineStr">
        <is>
          <t>No token or cost tracking exists for any of the 7 LLM call sites.</t>
        </is>
      </c>
      <c r="D35" s="7" t="inlineStr">
        <is>
          <t>Log tokens per call; build a cost-per-resume dashboard.</t>
        </is>
      </c>
      <c r="E35" s="12" t="inlineStr">
        <is>
          <t>Not Started</t>
        </is>
      </c>
      <c r="F35" s="7" t="inlineStr">
        <is>
          <t>Aditya</t>
        </is>
      </c>
      <c r="G35" s="7" t="inlineStr">
        <is>
          <t>Azure Cost Management</t>
        </is>
      </c>
    </row>
    <row r="36" ht="60" customHeight="1">
      <c r="A36" s="7" t="n">
        <v>33</v>
      </c>
      <c r="B36" s="7" t="inlineStr">
        <is>
          <t>Vendor / Third-Party / Concentration Risk</t>
        </is>
      </c>
      <c r="C36" s="7" t="inlineStr">
        <is>
          <t>4 vendor dependencies (OpenAI, ElevenLabs, Google Speech, lost-access n8n) with zero fallback for any.</t>
        </is>
      </c>
      <c r="D36" s="7" t="inlineStr">
        <is>
          <t>See Vendor_Risk_Register sheet.</t>
        </is>
      </c>
      <c r="E36" s="7" t="inlineStr">
        <is>
          <t>Done (register)</t>
        </is>
      </c>
      <c r="F36" s="7" t="inlineStr">
        <is>
          <t>Claude</t>
        </is>
      </c>
      <c r="G36" s="7" t="inlineStr">
        <is>
          <t>Azure AI Foundry, Azure AI Speech</t>
        </is>
      </c>
    </row>
    <row r="37" ht="60" customHeight="1">
      <c r="A37" s="7" t="n">
        <v>34</v>
      </c>
      <c r="B37" s="7" t="inlineStr">
        <is>
          <t>Measure After-AI KPIs</t>
        </is>
      </c>
      <c r="C37" s="7" t="inlineStr">
        <is>
          <t>Cannot measure 'after' without a 'before' baseline (Stage 4 is not done yet).</t>
        </is>
      </c>
      <c r="D37" s="7" t="inlineStr">
        <is>
          <t>Pending Stage 4.</t>
        </is>
      </c>
      <c r="E37" s="12" t="inlineStr">
        <is>
          <t>Not Started</t>
        </is>
      </c>
      <c r="F37" s="7" t="inlineStr">
        <is>
          <t>Aditya</t>
        </is>
      </c>
      <c r="G37" s="7" t="inlineStr">
        <is>
          <t>—</t>
        </is>
      </c>
    </row>
    <row r="38" ht="60" customHeight="1">
      <c r="A38" s="7" t="n">
        <v>35</v>
      </c>
      <c r="B38" s="7" t="inlineStr">
        <is>
          <t>Before-vs-After Variance + Value Leakage</t>
        </is>
      </c>
      <c r="C38" s="7" t="inlineStr">
        <is>
          <t>N/A until Stage 4 and 34 exist.</t>
        </is>
      </c>
      <c r="D38" s="7" t="inlineStr">
        <is>
          <t>Pending.</t>
        </is>
      </c>
      <c r="E38" s="12" t="inlineStr">
        <is>
          <t>Not Started</t>
        </is>
      </c>
      <c r="F38" s="7" t="inlineStr">
        <is>
          <t>Aditya</t>
        </is>
      </c>
      <c r="G38" s="7" t="inlineStr">
        <is>
          <t>—</t>
        </is>
      </c>
    </row>
    <row r="39" ht="60" customHeight="1">
      <c r="A39" s="7" t="n">
        <v>36</v>
      </c>
      <c r="B39" s="7" t="inlineStr">
        <is>
          <t>ROI / NPV / Benefits Realisation</t>
        </is>
      </c>
      <c r="C39" s="7" t="inlineStr">
        <is>
          <t>N/A until KPI baseline/after data exists.</t>
        </is>
      </c>
      <c r="D39" s="7" t="inlineStr">
        <is>
          <t>Pending.</t>
        </is>
      </c>
      <c r="E39" s="12" t="inlineStr">
        <is>
          <t>Not Started</t>
        </is>
      </c>
      <c r="F39" s="7" t="inlineStr">
        <is>
          <t>Aditya</t>
        </is>
      </c>
      <c r="G39" s="7" t="inlineStr">
        <is>
          <t>—</t>
        </is>
      </c>
    </row>
    <row r="40" ht="60" customHeight="1">
      <c r="A40" s="7" t="n">
        <v>37</v>
      </c>
      <c r="B40" s="7" t="inlineStr">
        <is>
          <t>Define Operating Model + RACI + Ownership</t>
        </is>
      </c>
      <c r="C40" s="7" t="inlineStr">
        <is>
          <t>Informal "Group 3" team, every row in this tracker's Owner column is currently a single person — single point of failure.</t>
        </is>
      </c>
      <c r="D40" s="7" t="inlineStr">
        <is>
          <t>Formal RACI once the team/scope is confirmed beyond one person.</t>
        </is>
      </c>
      <c r="E40" s="14" t="inlineStr">
        <is>
          <t>In Progress</t>
        </is>
      </c>
      <c r="F40" s="7" t="inlineStr">
        <is>
          <t>Aditya</t>
        </is>
      </c>
      <c r="G40" s="7" t="inlineStr">
        <is>
          <t>—</t>
        </is>
      </c>
    </row>
    <row r="41" ht="60" customHeight="1">
      <c r="A41" s="7" t="n">
        <v>38</v>
      </c>
      <c r="B41" s="7" t="inlineStr">
        <is>
          <t>Handover + Knowledge Transfer</t>
        </is>
      </c>
      <c r="C41" s="7" t="inlineStr">
        <is>
          <t>README.md was the only artifact before this session.</t>
        </is>
      </c>
      <c r="D41" s="7" t="inlineStr">
        <is>
          <t>This tracker + /prompts + /context-lake + /semantic-library = handover pack v1.</t>
        </is>
      </c>
      <c r="E41" s="14" t="inlineStr">
        <is>
          <t>In Progress</t>
        </is>
      </c>
      <c r="F41" s="7" t="inlineStr">
        <is>
          <t>Claude</t>
        </is>
      </c>
      <c r="G41" s="7" t="inlineStr">
        <is>
          <t>—</t>
        </is>
      </c>
    </row>
    <row r="42" ht="60" customHeight="1">
      <c r="A42" s="7" t="n">
        <v>39</v>
      </c>
      <c r="B42" s="7" t="inlineStr">
        <is>
          <t>Drift + Continuous Improvement</t>
        </is>
      </c>
      <c r="C42" s="7" t="inlineStr">
        <is>
          <t>No drift monitoring or prompt-version history existed before this session.</t>
        </is>
      </c>
      <c r="D42" s="7" t="inlineStr">
        <is>
          <t>/prompts/registry.json is the first version-tracking step.</t>
        </is>
      </c>
      <c r="E42" s="14" t="inlineStr">
        <is>
          <t>In Progress</t>
        </is>
      </c>
      <c r="F42" s="7" t="inlineStr">
        <is>
          <t>Claude</t>
        </is>
      </c>
      <c r="G42" s="7" t="inlineStr">
        <is>
          <t>—</t>
        </is>
      </c>
    </row>
    <row r="43" ht="60" customHeight="1">
      <c r="A43" s="7" t="n">
        <v>40</v>
      </c>
      <c r="B43" s="7" t="inlineStr">
        <is>
          <t>Scale / 90-Day Transformation Roadmap</t>
        </is>
      </c>
      <c r="C43" s="7" t="inlineStr">
        <is>
          <t>N/A — first use case not yet in production.</t>
        </is>
      </c>
      <c r="D43" s="7" t="inlineStr">
        <is>
          <t>Prompt library, context-lake schema, and semantic-index design are already reusable across any future JD/role type.</t>
        </is>
      </c>
      <c r="E43" s="12" t="inlineStr">
        <is>
          <t>Not Started</t>
        </is>
      </c>
      <c r="F43" s="7" t="inlineStr">
        <is>
          <t>Aditya</t>
        </is>
      </c>
      <c r="G43" s="7" t="inlineStr">
        <is>
          <t>—</t>
        </is>
      </c>
    </row>
    <row r="44" ht="60" customHeight="1">
      <c r="A44" s="7" t="n">
        <v>41</v>
      </c>
      <c r="B44" s="7" t="inlineStr">
        <is>
          <t>Retirement / Decommissioning</t>
        </is>
      </c>
      <c r="C44" s="7" t="inlineStr">
        <is>
          <t>The n8n WhatsApp automation is already informally "retired" (lost access) with zero documented retirement criteria or archival.</t>
        </is>
      </c>
      <c r="D44" s="7" t="inlineStr">
        <is>
          <t>Write a retirement checklist; apply it retroactively to the lost n8n flow for a clean paper trail.</t>
        </is>
      </c>
      <c r="E44" s="12" t="inlineStr">
        <is>
          <t>Not Started</t>
        </is>
      </c>
      <c r="F44" s="7" t="inlineStr">
        <is>
          <t>Aditya</t>
        </is>
      </c>
      <c r="G44" s="7" t="inlineStr">
        <is>
          <t>—</t>
        </is>
      </c>
    </row>
    <row r="45" ht="60" customHeight="1">
      <c r="A45" s="7" t="n">
        <v>42</v>
      </c>
      <c r="B45" s="7" t="inlineStr">
        <is>
          <t>Executive Defence &amp; Final Value Story</t>
        </is>
      </c>
      <c r="C45" s="7" t="inlineStr">
        <is>
          <t>README.md is the closest artifact; no measurable value story exists yet.</t>
        </is>
      </c>
      <c r="D45" s="7" t="inlineStr">
        <is>
          <t>Build once KPIs exist (Stage 34-36 complete).</t>
        </is>
      </c>
      <c r="E45" s="12" t="inlineStr">
        <is>
          <t>Not Started</t>
        </is>
      </c>
      <c r="F45" s="7" t="inlineStr">
        <is>
          <t>Aditya</t>
        </is>
      </c>
      <c r="G45" s="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4" customWidth="1" min="3" max="3"/>
    <col width="9" customWidth="1" min="4" max="4"/>
    <col width="36" customWidth="1" min="5" max="5"/>
    <col width="8" customWidth="1" min="6" max="6"/>
    <col width="14" customWidth="1" min="7" max="7"/>
    <col width="40" customWidth="1" min="8" max="8"/>
  </cols>
  <sheetData>
    <row r="1">
      <c r="A1" s="1" t="inlineStr">
        <is>
          <t>Feature Backlog</t>
        </is>
      </c>
    </row>
    <row r="2">
      <c r="A2" s="2" t="inlineStr">
        <is>
          <t>Stand-out features to build, prioritized P0 (now) -&gt; P2 (later)</t>
        </is>
      </c>
    </row>
    <row r="3">
      <c r="A3" s="11" t="inlineStr">
        <is>
          <t>Feature</t>
        </is>
      </c>
      <c r="B3" s="11" t="inlineStr">
        <is>
          <t>Description</t>
        </is>
      </c>
      <c r="C3" s="11" t="inlineStr">
        <is>
          <t>Category</t>
        </is>
      </c>
      <c r="D3" s="11" t="inlineStr">
        <is>
          <t>Priority</t>
        </is>
      </c>
      <c r="E3" s="11" t="inlineStr">
        <is>
          <t>Azure Service(s)</t>
        </is>
      </c>
      <c r="F3" s="11" t="inlineStr">
        <is>
          <t>Effort</t>
        </is>
      </c>
      <c r="G3" s="11" t="inlineStr">
        <is>
          <t>Status</t>
        </is>
      </c>
      <c r="H3" s="11" t="inlineStr">
        <is>
          <t>Notes</t>
        </is>
      </c>
    </row>
    <row r="4" ht="55" customHeight="1">
      <c r="A4" s="7" t="inlineStr">
        <is>
          <t>Recruiter/Admin Frontend Dashboard</t>
        </is>
      </c>
      <c r="B4" s="7" t="inlineStr">
        <is>
          <t>Live pipeline funnel, candidate rankings, interview status, cost/token usage in one UI.</t>
        </is>
      </c>
      <c r="C4" s="7" t="inlineStr">
        <is>
          <t>Frontend</t>
        </is>
      </c>
      <c r="D4" s="15" t="inlineStr">
        <is>
          <t>P0</t>
        </is>
      </c>
      <c r="E4" s="7" t="inlineStr">
        <is>
          <t>Azure Static Web Apps + Azure Functions API + Entra ID auth</t>
        </is>
      </c>
      <c r="F4" s="7" t="inlineStr">
        <is>
          <t>L</t>
        </is>
      </c>
      <c r="G4" s="12" t="inlineStr">
        <is>
          <t>Not Started</t>
        </is>
      </c>
      <c r="H4" s="7" t="inlineStr">
        <is>
          <t>Directly requested; also serves as the Stage 31 observability UI.</t>
        </is>
      </c>
    </row>
    <row r="5" ht="55" customHeight="1">
      <c r="A5" s="7" t="inlineStr">
        <is>
          <t>WhatsApp Candidate Notifications</t>
        </is>
      </c>
      <c r="B5" s="7" t="inlineStr">
        <is>
          <t>Rebuild the lost n8n flow: interview invites/reminders/status updates via WhatsApp.</t>
        </is>
      </c>
      <c r="C5" s="7" t="inlineStr">
        <is>
          <t>Integration</t>
        </is>
      </c>
      <c r="D5" s="15" t="inlineStr">
        <is>
          <t>P0</t>
        </is>
      </c>
      <c r="E5" s="7" t="inlineStr">
        <is>
          <t>Azure Logic Apps + WhatsApp Business Cloud API (or re-host n8n on Azure Container Apps)</t>
        </is>
      </c>
      <c r="F5" s="7" t="inlineStr">
        <is>
          <t>M</t>
        </is>
      </c>
      <c r="G5" s="12" t="inlineStr">
        <is>
          <t>Not Started</t>
        </is>
      </c>
      <c r="H5" s="7" t="inlineStr">
        <is>
          <t>See Azure_Service_Mapping 'n8n WhatsApp' row — removes a single point of failure.</t>
        </is>
      </c>
    </row>
    <row r="6" ht="55" customHeight="1">
      <c r="A6" s="7" t="inlineStr">
        <is>
          <t>Centralized Context Lake</t>
        </is>
      </c>
      <c r="B6" s="7" t="inlineStr">
        <is>
          <t>One queryable source of truth for candidates/interviews/scores/audit instead of 5 scattered file trees.</t>
        </is>
      </c>
      <c r="C6" s="7" t="inlineStr">
        <is>
          <t>Data</t>
        </is>
      </c>
      <c r="D6" s="15" t="inlineStr">
        <is>
          <t>P0</t>
        </is>
      </c>
      <c r="E6" s="7" t="inlineStr">
        <is>
          <t>Azure Cosmos DB, Azure Blob Storage</t>
        </is>
      </c>
      <c r="F6" s="7" t="inlineStr">
        <is>
          <t>M</t>
        </is>
      </c>
      <c r="G6" s="16" t="inlineStr">
        <is>
          <t>Design done</t>
        </is>
      </c>
      <c r="H6" s="7" t="inlineStr">
        <is>
          <t>See /context-lake; blocks both the dashboard and semantic search.</t>
        </is>
      </c>
    </row>
    <row r="7" ht="55" customHeight="1">
      <c r="A7" s="7" t="inlineStr">
        <is>
          <t>Secrets in Key Vault</t>
        </is>
      </c>
      <c r="B7" s="7" t="inlineStr">
        <is>
          <t>Move all API keys/passwords out of .env/config.json entirely.</t>
        </is>
      </c>
      <c r="C7" s="7" t="inlineStr">
        <is>
          <t>Security</t>
        </is>
      </c>
      <c r="D7" s="15" t="inlineStr">
        <is>
          <t>P0</t>
        </is>
      </c>
      <c r="E7" s="7" t="inlineStr">
        <is>
          <t>Azure Key Vault + Managed Identity</t>
        </is>
      </c>
      <c r="F7" s="7" t="inlineStr">
        <is>
          <t>S</t>
        </is>
      </c>
      <c r="G7" s="14" t="inlineStr">
        <is>
          <t>Partially Done</t>
        </is>
      </c>
      <c r="H7" s="7" t="inlineStr">
        <is>
          <t>Today's fix (env/config lookups) is step 1; Key Vault is step 2.</t>
        </is>
      </c>
    </row>
    <row r="8" ht="55" customHeight="1">
      <c r="A8" s="7" t="inlineStr">
        <is>
          <t>Semantic Resume-to-JD Matching (RAG)</t>
        </is>
      </c>
      <c r="B8" s="7" t="inlineStr">
        <is>
          <t>Replace the LLM's free-text 'JD Match %' guess with retrieval-grounded matching.</t>
        </is>
      </c>
      <c r="C8" s="7" t="inlineStr">
        <is>
          <t>AI/Backend</t>
        </is>
      </c>
      <c r="D8" s="17" t="inlineStr">
        <is>
          <t>P1</t>
        </is>
      </c>
      <c r="E8" s="7" t="inlineStr">
        <is>
          <t>Azure AI Search, Azure AI Foundry embeddings</t>
        </is>
      </c>
      <c r="F8" s="7" t="inlineStr">
        <is>
          <t>M</t>
        </is>
      </c>
      <c r="G8" s="16" t="inlineStr">
        <is>
          <t>Design done</t>
        </is>
      </c>
      <c r="H8" s="7" t="inlineStr">
        <is>
          <t>See /semantic-library.</t>
        </is>
      </c>
    </row>
    <row r="9" ht="55" customHeight="1">
      <c r="A9" s="7" t="inlineStr">
        <is>
          <t>Prompt Library with Versioning</t>
        </is>
      </c>
      <c r="B9" s="7" t="inlineStr">
        <is>
          <t>Externalize and version all 7 LLM prompts instead of inline f-strings.</t>
        </is>
      </c>
      <c r="C9" s="7" t="inlineStr">
        <is>
          <t>AI/Governance</t>
        </is>
      </c>
      <c r="D9" s="17" t="inlineStr">
        <is>
          <t>P1</t>
        </is>
      </c>
      <c r="E9" s="7" t="inlineStr">
        <is>
          <t>Repo-based now; Azure App Configuration later</t>
        </is>
      </c>
      <c r="F9" s="7" t="inlineStr">
        <is>
          <t>S</t>
        </is>
      </c>
      <c r="G9" s="13" t="inlineStr">
        <is>
          <t>Done</t>
        </is>
      </c>
      <c r="H9" s="7" t="inlineStr">
        <is>
          <t>See /prompts.</t>
        </is>
      </c>
    </row>
    <row r="10" ht="55" customHeight="1">
      <c r="A10" s="7" t="inlineStr">
        <is>
          <t>Human Review Queue</t>
        </is>
      </c>
      <c r="B10" s="7" t="inlineStr">
        <is>
          <t>Structured approve/reject UI for the 'To Be Considered' tier instead of just an emailed CSV.</t>
        </is>
      </c>
      <c r="C10" s="7" t="inlineStr">
        <is>
          <t>Product</t>
        </is>
      </c>
      <c r="D10" s="17" t="inlineStr">
        <is>
          <t>P1</t>
        </is>
      </c>
      <c r="E10" s="7" t="inlineStr">
        <is>
          <t>Part of the frontend dashboard</t>
        </is>
      </c>
      <c r="F10" s="7" t="inlineStr">
        <is>
          <t>M</t>
        </is>
      </c>
      <c r="G10" s="12" t="inlineStr">
        <is>
          <t>Not Started</t>
        </is>
      </c>
      <c r="H10" s="7" t="inlineStr">
        <is>
          <t>Formalizes FDE Stage 23 (HITL).</t>
        </is>
      </c>
    </row>
    <row r="11" ht="55" customHeight="1">
      <c r="A11" s="7" t="inlineStr">
        <is>
          <t>Event-Driven Pipeline</t>
        </is>
      </c>
      <c r="B11" s="7" t="inlineStr">
        <is>
          <t>Blob upload auto-triggers parsing; removes the 60s poll loop and subprocess.call chaining.</t>
        </is>
      </c>
      <c r="C11" s="7" t="inlineStr">
        <is>
          <t>Backend</t>
        </is>
      </c>
      <c r="D11" s="17" t="inlineStr">
        <is>
          <t>P1</t>
        </is>
      </c>
      <c r="E11" s="7" t="inlineStr">
        <is>
          <t>Azure Event Grid, Azure Functions</t>
        </is>
      </c>
      <c r="F11" s="7" t="inlineStr">
        <is>
          <t>M</t>
        </is>
      </c>
      <c r="G11" s="12" t="inlineStr">
        <is>
          <t>Not Started</t>
        </is>
      </c>
      <c r="H11" s="7" t="inlineStr">
        <is>
          <t>Replaces file_watcher.py's polling model.</t>
        </is>
      </c>
    </row>
    <row r="12" ht="55" customHeight="1">
      <c r="A12" s="7" t="inlineStr">
        <is>
          <t>Structured Observability + Token/Cost Dashboard</t>
        </is>
      </c>
      <c r="B12" s="7" t="inlineStr">
        <is>
          <t>Replace freeform log.txt with real traces, metrics, and per-call token logging.</t>
        </is>
      </c>
      <c r="C12" s="7" t="inlineStr">
        <is>
          <t>Ops</t>
        </is>
      </c>
      <c r="D12" s="17" t="inlineStr">
        <is>
          <t>P1</t>
        </is>
      </c>
      <c r="E12" s="7" t="inlineStr">
        <is>
          <t>Azure Monitor, Application Insights</t>
        </is>
      </c>
      <c r="F12" s="7" t="inlineStr">
        <is>
          <t>M</t>
        </is>
      </c>
      <c r="G12" s="12" t="inlineStr">
        <is>
          <t>Not Started</t>
        </is>
      </c>
      <c r="H12" s="7" t="inlineStr">
        <is>
          <t>Feeds the frontend dashboard directly.</t>
        </is>
      </c>
    </row>
    <row r="13" ht="55" customHeight="1">
      <c r="A13" s="7" t="inlineStr">
        <is>
          <t>Automated Test Suite</t>
        </is>
      </c>
      <c r="B13" s="7" t="inlineStr">
        <is>
          <t>Golden / edge / adversarial resume cases — zero tests exist today.</t>
        </is>
      </c>
      <c r="C13" s="7" t="inlineStr">
        <is>
          <t>Quality</t>
        </is>
      </c>
      <c r="D13" s="17" t="inlineStr">
        <is>
          <t>P1</t>
        </is>
      </c>
      <c r="E13" s="7" t="inlineStr">
        <is>
          <t>GitHub Actions CI</t>
        </is>
      </c>
      <c r="F13" s="7" t="inlineStr">
        <is>
          <t>M</t>
        </is>
      </c>
      <c r="G13" s="12" t="inlineStr">
        <is>
          <t>Not Started</t>
        </is>
      </c>
      <c r="H13" s="7" t="inlineStr">
        <is>
          <t>Blocks safe refactoring of anything else on this list.</t>
        </is>
      </c>
    </row>
    <row r="14" ht="55" customHeight="1">
      <c r="A14" s="7" t="inlineStr">
        <is>
          <t>Bias/Fairness Audit of Scoring Weights</t>
        </is>
      </c>
      <c r="B14" s="7" t="inlineStr">
        <is>
          <t>scoring_config.json weights (industry penalty, culture fit, etc.) have never been reviewed for bias.</t>
        </is>
      </c>
      <c r="C14" s="7" t="inlineStr">
        <is>
          <t>Responsible AI</t>
        </is>
      </c>
      <c r="D14" s="17" t="inlineStr">
        <is>
          <t>P1</t>
        </is>
      </c>
      <c r="E14" s="7" t="inlineStr">
        <is>
          <t>Azure AI Content Safety / manual audit</t>
        </is>
      </c>
      <c r="F14" s="7" t="inlineStr">
        <is>
          <t>S</t>
        </is>
      </c>
      <c r="G14" s="12" t="inlineStr">
        <is>
          <t>Not Started</t>
        </is>
      </c>
      <c r="H14" s="7" t="inlineStr">
        <is>
          <t>FDE Stage 24 gap.</t>
        </is>
      </c>
    </row>
    <row r="15" ht="55" customHeight="1">
      <c r="A15" s="7" t="inlineStr">
        <is>
          <t>Retry/Fallback for LLM Calls</t>
        </is>
      </c>
      <c r="B15" s="7" t="inlineStr">
        <is>
          <t>No retry logic exists anywhere — one failed call silently skips a candidate.</t>
        </is>
      </c>
      <c r="C15" s="7" t="inlineStr">
        <is>
          <t>Reliability</t>
        </is>
      </c>
      <c r="D15" s="17" t="inlineStr">
        <is>
          <t>P1</t>
        </is>
      </c>
      <c r="E15" s="7" t="inlineStr">
        <is>
          <t>—</t>
        </is>
      </c>
      <c r="F15" s="7" t="inlineStr">
        <is>
          <t>S</t>
        </is>
      </c>
      <c r="G15" s="12" t="inlineStr">
        <is>
          <t>Not Started</t>
        </is>
      </c>
      <c r="H15" s="7" t="inlineStr">
        <is>
          <t>FDE Stage 28 gap.</t>
        </is>
      </c>
    </row>
    <row r="16" ht="55" customHeight="1">
      <c r="A16" s="7" t="inlineStr">
        <is>
          <t>CI/CD Pipeline</t>
        </is>
      </c>
      <c r="B16" s="7" t="inlineStr">
        <is>
          <t>No automated build/test/deploy exists today.</t>
        </is>
      </c>
      <c r="C16" s="7" t="inlineStr">
        <is>
          <t>DevOps</t>
        </is>
      </c>
      <c r="D16" s="17" t="inlineStr">
        <is>
          <t>P1</t>
        </is>
      </c>
      <c r="E16" s="7" t="inlineStr">
        <is>
          <t>GitHub Actions, Bicep/Terraform</t>
        </is>
      </c>
      <c r="F16" s="7" t="inlineStr">
        <is>
          <t>M</t>
        </is>
      </c>
      <c r="G16" s="12" t="inlineStr">
        <is>
          <t>Not Started</t>
        </is>
      </c>
      <c r="H16" s="7" t="inlineStr">
        <is>
          <t>—</t>
        </is>
      </c>
    </row>
    <row r="17" ht="55" customHeight="1">
      <c r="A17" s="7" t="inlineStr">
        <is>
          <t>Structured JSON Output</t>
        </is>
      </c>
      <c r="B17" s="7" t="inlineStr">
        <is>
          <t>Replace free-text 'return clean JSON' prompting with schema-enforced structured outputs.</t>
        </is>
      </c>
      <c r="C17" s="7" t="inlineStr">
        <is>
          <t>AI Quality</t>
        </is>
      </c>
      <c r="D17" s="17" t="inlineStr">
        <is>
          <t>P1</t>
        </is>
      </c>
      <c r="E17" s="7" t="inlineStr">
        <is>
          <t>Azure AI Foundry structured outputs</t>
        </is>
      </c>
      <c r="F17" s="7" t="inlineStr">
        <is>
          <t>S</t>
        </is>
      </c>
      <c r="G17" s="12" t="inlineStr">
        <is>
          <t>Not Started</t>
        </is>
      </c>
      <c r="H17" s="7" t="inlineStr">
        <is>
          <t>Fixes the brittle json.loads() parsing noted in the prompt library README.</t>
        </is>
      </c>
    </row>
    <row r="18" ht="55" customHeight="1">
      <c r="A18" s="7" t="inlineStr">
        <is>
          <t>Azure AI Speech for TTS/STT</t>
        </is>
      </c>
      <c r="B18" s="7" t="inlineStr">
        <is>
          <t>Replace ElevenLabs + Google Speech with one Azure-native service.</t>
        </is>
      </c>
      <c r="C18" s="7" t="inlineStr">
        <is>
          <t>AI</t>
        </is>
      </c>
      <c r="D18" s="16" t="inlineStr">
        <is>
          <t>P2</t>
        </is>
      </c>
      <c r="E18" s="7" t="inlineStr">
        <is>
          <t>Azure AI Speech</t>
        </is>
      </c>
      <c r="F18" s="7" t="inlineStr">
        <is>
          <t>S</t>
        </is>
      </c>
      <c r="G18" s="12" t="inlineStr">
        <is>
          <t>Not Started</t>
        </is>
      </c>
      <c r="H18" s="7" t="inlineStr">
        <is>
          <t>Reduces vendor concentration risk (FDE Stage 16).</t>
        </is>
      </c>
    </row>
    <row r="19" ht="55" customHeight="1">
      <c r="A19" s="7" t="inlineStr">
        <is>
          <t>Multi-JD / Multi-Tenant Support</t>
        </is>
      </c>
      <c r="B19" s="7" t="inlineStr">
        <is>
          <t>Score candidates against multiple concurrent JDs/roles — today only the single most-recent JD file is used.</t>
        </is>
      </c>
      <c r="C19" s="7" t="inlineStr">
        <is>
          <t>Product</t>
        </is>
      </c>
      <c r="D19" s="16" t="inlineStr">
        <is>
          <t>P2</t>
        </is>
      </c>
      <c r="E19" s="7" t="inlineStr">
        <is>
          <t>Cosmos DB (jd-corpus), Azure AI Search</t>
        </is>
      </c>
      <c r="F19" s="7" t="inlineStr">
        <is>
          <t>L</t>
        </is>
      </c>
      <c r="G19" s="12" t="inlineStr">
        <is>
          <t>Not Started</t>
        </is>
      </c>
      <c r="H19" s="7" t="inlineStr">
        <is>
          <t>See /semantic-library/index_schema.json jd-corpus index.</t>
        </is>
      </c>
    </row>
    <row r="20" ht="55" customHeight="1">
      <c r="A20" s="7" t="inlineStr">
        <is>
          <t>Role-Based Access Control for Dashboard</t>
        </is>
      </c>
      <c r="B20" s="7" t="inlineStr">
        <is>
          <t>Recruiter vs hiring manager vs exec views.</t>
        </is>
      </c>
      <c r="C20" s="7" t="inlineStr">
        <is>
          <t>Security</t>
        </is>
      </c>
      <c r="D20" s="16" t="inlineStr">
        <is>
          <t>P2</t>
        </is>
      </c>
      <c r="E20" s="7" t="inlineStr">
        <is>
          <t>Microsoft Entra ID</t>
        </is>
      </c>
      <c r="F20" s="7" t="inlineStr">
        <is>
          <t>S</t>
        </is>
      </c>
      <c r="G20" s="12" t="inlineStr">
        <is>
          <t>Not Started</t>
        </is>
      </c>
      <c r="H20" s="7" t="inlineStr">
        <is>
          <t>—</t>
        </is>
      </c>
    </row>
    <row r="21" ht="55" customHeight="1">
      <c r="A21" s="7" t="inlineStr">
        <is>
          <t>Embedded Analytics for Exec Reporting</t>
        </is>
      </c>
      <c r="B21" s="7" t="inlineStr">
        <is>
          <t>Funnel conversion, time-to-hire, DEI metrics.</t>
        </is>
      </c>
      <c r="C21" s="7" t="inlineStr">
        <is>
          <t>Analytics</t>
        </is>
      </c>
      <c r="D21" s="16" t="inlineStr">
        <is>
          <t>P2</t>
        </is>
      </c>
      <c r="E21" s="7" t="inlineStr">
        <is>
          <t>Power BI Embedded or Azure Workbooks</t>
        </is>
      </c>
      <c r="F21" s="7" t="inlineStr">
        <is>
          <t>M</t>
        </is>
      </c>
      <c r="G21" s="12" t="inlineStr">
        <is>
          <t>Not Started</t>
        </is>
      </c>
      <c r="H21" s="7" t="inlineStr">
        <is>
          <t>Serves FDE Stage 42 (Executive Defence).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46" customWidth="1" min="3" max="3"/>
    <col width="22" customWidth="1" min="4" max="4"/>
    <col width="30" customWidth="1" min="5" max="5"/>
  </cols>
  <sheetData>
    <row r="1">
      <c r="A1" s="1" t="inlineStr">
        <is>
          <t>Azure Service Mapping</t>
        </is>
      </c>
    </row>
    <row r="2">
      <c r="A2" s="2" t="inlineStr">
        <is>
          <t>Every brownfield component -&gt; its Azure replacement, with cost tier and Azure-for-Students availability</t>
        </is>
      </c>
    </row>
    <row r="3">
      <c r="A3" s="11" t="inlineStr">
        <is>
          <t>Brownfield Component (Current)</t>
        </is>
      </c>
      <c r="B3" s="11" t="inlineStr">
        <is>
          <t>Azure Replacement</t>
        </is>
      </c>
      <c r="C3" s="11" t="inlineStr">
        <is>
          <t>Why / How</t>
        </is>
      </c>
      <c r="D3" s="11" t="inlineStr">
        <is>
          <t>Cost Tier</t>
        </is>
      </c>
      <c r="E3" s="11" t="inlineStr">
        <is>
          <t>Azure-for-Students Available?</t>
        </is>
      </c>
    </row>
    <row r="4" ht="50" customHeight="1">
      <c r="A4" s="7" t="inlineStr">
        <is>
          <t>InputResume_Folder / OutputResume_Folder (local disk)</t>
        </is>
      </c>
      <c r="B4" s="7" t="inlineStr">
        <is>
          <t>Azure Blob Storage</t>
        </is>
      </c>
      <c r="C4" s="7" t="inlineStr">
        <is>
          <t>Durable, triggers Event Grid on upload, geo-redundant.</t>
        </is>
      </c>
      <c r="D4" s="7" t="inlineStr">
        <is>
          <t>Low (pay-per-GB)</t>
        </is>
      </c>
      <c r="E4" s="7" t="inlineStr">
        <is>
          <t>Yes</t>
        </is>
      </c>
    </row>
    <row r="5" ht="50" customHeight="1">
      <c r="A5" s="7" t="inlineStr">
        <is>
          <t>file_watcher.py (watchdog polling + 60s Gmail poll)</t>
        </is>
      </c>
      <c r="B5" s="7" t="inlineStr">
        <is>
          <t>Azure Event Grid + Azure Functions (Blob trigger)</t>
        </is>
      </c>
      <c r="C5" s="7" t="inlineStr">
        <is>
          <t>Event-driven instead of polling; scales to zero when idle.</t>
        </is>
      </c>
      <c r="D5" s="7" t="inlineStr">
        <is>
          <t>Low (consumption plan)</t>
        </is>
      </c>
      <c r="E5" s="7" t="inlineStr">
        <is>
          <t>Yes</t>
        </is>
      </c>
    </row>
    <row r="6" ht="50" customHeight="1">
      <c r="A6" s="7" t="inlineStr">
        <is>
          <t>subprocess.call(["python","ResumeParser.py"]) chaining</t>
        </is>
      </c>
      <c r="B6" s="7" t="inlineStr">
        <is>
          <t>Azure Functions / Azure Container Apps Jobs</t>
        </is>
      </c>
      <c r="C6" s="7" t="inlineStr">
        <is>
          <t>Proper async invocation with retries, not shelling out to a whole script.</t>
        </is>
      </c>
      <c r="D6" s="7" t="inlineStr">
        <is>
          <t>Low</t>
        </is>
      </c>
      <c r="E6" s="7" t="inlineStr">
        <is>
          <t>Yes</t>
        </is>
      </c>
    </row>
    <row r="7" ht="50" customHeight="1">
      <c r="A7" s="7" t="inlineStr">
        <is>
          <t>resume_summary.csv, candidate_ranking_metrics.csv</t>
        </is>
      </c>
      <c r="B7" s="7" t="inlineStr">
        <is>
          <t>Azure Cosmos DB (NoSQL API)</t>
        </is>
      </c>
      <c r="C7" s="7" t="inlineStr">
        <is>
          <t>Queryable, supports partial updates, feeds the dashboard directly.</t>
        </is>
      </c>
      <c r="D7" s="7" t="inlineStr">
        <is>
          <t>Low (serverless tier)</t>
        </is>
      </c>
      <c r="E7" s="7" t="inlineStr">
        <is>
          <t>Yes (free tier)</t>
        </is>
      </c>
    </row>
    <row r="8" ht="50" customHeight="1">
      <c r="A8" s="7" t="inlineStr">
        <is>
          <t>config/*.json + .env (secrets)</t>
        </is>
      </c>
      <c r="B8" s="7" t="inlineStr">
        <is>
          <t>Azure Key Vault + Managed Identity</t>
        </is>
      </c>
      <c r="C8" s="7" t="inlineStr">
        <is>
          <t>No secrets in code or config files at all; access via identity, not keys.</t>
        </is>
      </c>
      <c r="D8" s="7" t="inlineStr">
        <is>
          <t>Low</t>
        </is>
      </c>
      <c r="E8" s="7" t="inlineStr">
        <is>
          <t>Yes</t>
        </is>
      </c>
    </row>
    <row r="9" ht="50" customHeight="1">
      <c r="A9" s="7" t="inlineStr">
        <is>
          <t>Gmail IMAP polling (imaplib)</t>
        </is>
      </c>
      <c r="B9" s="7" t="inlineStr">
        <is>
          <t>Azure Logic Apps (Gmail connector) or Microsoft Graph webhook</t>
        </is>
      </c>
      <c r="C9" s="7" t="inlineStr">
        <is>
          <t>Event-driven, no 60s poll loop, built-in retry.</t>
        </is>
      </c>
      <c r="D9" s="7" t="inlineStr">
        <is>
          <t>Low</t>
        </is>
      </c>
      <c r="E9" s="7" t="inlineStr">
        <is>
          <t>Yes (consumption)</t>
        </is>
      </c>
    </row>
    <row r="10" ht="50" customHeight="1">
      <c r="A10" s="7" t="inlineStr">
        <is>
          <t>smtplib SMTP email sending</t>
        </is>
      </c>
      <c r="B10" s="7" t="inlineStr">
        <is>
          <t>Azure Communication Services — Email</t>
        </is>
      </c>
      <c r="C10" s="7" t="inlineStr">
        <is>
          <t>Managed deliverability, no app-password management.</t>
        </is>
      </c>
      <c r="D10" s="7" t="inlineStr">
        <is>
          <t>Low</t>
        </is>
      </c>
      <c r="E10" s="7" t="inlineStr">
        <is>
          <t>Yes</t>
        </is>
      </c>
    </row>
    <row r="11" ht="50" customHeight="1">
      <c r="A11" s="7" t="inlineStr">
        <is>
          <t>Manually generated .ics calendar invites</t>
        </is>
      </c>
      <c r="B11" s="7" t="inlineStr">
        <is>
          <t>Microsoft Graph Calendar API</t>
        </is>
      </c>
      <c r="C11" s="7" t="inlineStr">
        <is>
          <t>Native Outlook/Teams calendar integration with RSVP tracking.</t>
        </is>
      </c>
      <c r="D11" s="7" t="inlineStr">
        <is>
          <t>Low</t>
        </is>
      </c>
      <c r="E11" s="7" t="inlineStr">
        <is>
          <t>Yes (M365 dev tenant)</t>
        </is>
      </c>
    </row>
    <row r="12" ht="50" customHeight="1">
      <c r="A12" s="7" t="inlineStr">
        <is>
          <t>OpenAI GPT-3.5-turbo (direct API via LangChain)</t>
        </is>
      </c>
      <c r="B12" s="7" t="inlineStr">
        <is>
          <t>Azure AI Foundry Models (GPT-4o-mini / GPT-4o)</t>
        </is>
      </c>
      <c r="C12" s="7" t="inlineStr">
        <is>
          <t>Same LangChain integration (ChatOpenAI -&gt; AzureChatOpenAI); adds data residency + Azure RBAC.</t>
        </is>
      </c>
      <c r="D12" s="7" t="inlineStr">
        <is>
          <t>Medium (token-based)</t>
        </is>
      </c>
      <c r="E12" s="7" t="inlineStr">
        <is>
          <t>Needs approval — keep direct OpenAI as interim</t>
        </is>
      </c>
    </row>
    <row r="13" ht="50" customHeight="1">
      <c r="A13" s="7" t="inlineStr">
        <is>
          <t>No semantic search (string/keyword matching only)</t>
        </is>
      </c>
      <c r="B13" s="7" t="inlineStr">
        <is>
          <t>Azure AI Search (vector + hybrid)</t>
        </is>
      </c>
      <c r="C13" s="7" t="inlineStr">
        <is>
          <t>See /semantic-library/index_schema.json.</t>
        </is>
      </c>
      <c r="D13" s="7" t="inlineStr">
        <is>
          <t>Low (Basic tier)</t>
        </is>
      </c>
      <c r="E13" s="7" t="inlineStr">
        <is>
          <t>Yes</t>
        </is>
      </c>
    </row>
    <row r="14" ht="50" customHeight="1">
      <c r="A14" s="7" t="inlineStr">
        <is>
          <t>No vector embeddings anywhere</t>
        </is>
      </c>
      <c r="B14" s="7" t="inlineStr">
        <is>
          <t>Azure AI Foundry text-embedding-3-small</t>
        </is>
      </c>
      <c r="C14" s="7" t="inlineStr">
        <is>
          <t>Powers the AI Search vector field.</t>
        </is>
      </c>
      <c r="D14" s="7" t="inlineStr">
        <is>
          <t>Low (token-based)</t>
        </is>
      </c>
      <c r="E14" s="7" t="inlineStr">
        <is>
          <t>Needs approval — fallback: OpenAI embeddings API directly</t>
        </is>
      </c>
    </row>
    <row r="15" ht="50" customHeight="1">
      <c r="A15" s="7" t="inlineStr">
        <is>
          <t>ElevenLabs TTS (hardcoded key, 3rd party)</t>
        </is>
      </c>
      <c r="B15" s="7" t="inlineStr">
        <is>
          <t>Azure AI Speech (Neural TTS)</t>
        </is>
      </c>
      <c r="C15" s="7" t="inlineStr">
        <is>
          <t>One fewer vendor; native Azure billing/quota.</t>
        </is>
      </c>
      <c r="D15" s="7" t="inlineStr">
        <is>
          <t>Low</t>
        </is>
      </c>
      <c r="E15" s="7" t="inlineStr">
        <is>
          <t>Yes</t>
        </is>
      </c>
    </row>
    <row r="16" ht="50" customHeight="1">
      <c r="A16" s="7" t="inlineStr">
        <is>
          <t>Google Web Speech API (speech_recognition, STT)</t>
        </is>
      </c>
      <c r="B16" s="7" t="inlineStr">
        <is>
          <t>Azure AI Speech (Speech-to-Text)</t>
        </is>
      </c>
      <c r="C16" s="7" t="inlineStr">
        <is>
          <t>Same vendor as TTS above; streaming support.</t>
        </is>
      </c>
      <c r="D16" s="7" t="inlineStr">
        <is>
          <t>Low</t>
        </is>
      </c>
      <c r="E16" s="7" t="inlineStr">
        <is>
          <t>Yes</t>
        </is>
      </c>
    </row>
    <row r="17" ht="50" customHeight="1">
      <c r="A17" s="7" t="inlineStr">
        <is>
          <t>log.txt (20,000+ line freeform text file)</t>
        </is>
      </c>
      <c r="B17" s="7" t="inlineStr">
        <is>
          <t>Azure Monitor + Application Insights</t>
        </is>
      </c>
      <c r="C17" s="7" t="inlineStr">
        <is>
          <t>Structured, queryable (KQL), alerting, feeds dashboards.</t>
        </is>
      </c>
      <c r="D17" s="7" t="inlineStr">
        <is>
          <t>Low (pay-per-GB ingested)</t>
        </is>
      </c>
      <c r="E17" s="7" t="inlineStr">
        <is>
          <t>Yes</t>
        </is>
      </c>
    </row>
    <row r="18" ht="50" customHeight="1">
      <c r="A18" s="7" t="inlineStr">
        <is>
          <t>No frontend / no dashboard</t>
        </is>
      </c>
      <c r="B18" s="7" t="inlineStr">
        <is>
          <t>Azure Static Web Apps (React/Next.js) + Azure Functions API</t>
        </is>
      </c>
      <c r="C18" s="7" t="inlineStr">
        <is>
          <t>Free tier, built-in CI/CD from GitHub, Entra ID auth built in.</t>
        </is>
      </c>
      <c r="D18" s="7" t="inlineStr">
        <is>
          <t>Free tier available</t>
        </is>
      </c>
      <c r="E18" s="7" t="inlineStr">
        <is>
          <t>Yes</t>
        </is>
      </c>
    </row>
    <row r="19" ht="50" customHeight="1">
      <c r="A19" s="7" t="inlineStr">
        <is>
          <t>No authentication/RBAC anywhere</t>
        </is>
      </c>
      <c r="B19" s="7" t="inlineStr">
        <is>
          <t>Microsoft Entra ID</t>
        </is>
      </c>
      <c r="C19" s="7" t="inlineStr">
        <is>
          <t>Free tier covers up to 50k MAU — easily enough for a student project.</t>
        </is>
      </c>
      <c r="D19" s="7" t="inlineStr">
        <is>
          <t>Free</t>
        </is>
      </c>
      <c r="E19" s="7" t="inlineStr">
        <is>
          <t>Yes</t>
        </is>
      </c>
    </row>
    <row r="20" ht="50" customHeight="1">
      <c r="A20" s="7" t="inlineStr">
        <is>
          <t>n8n WhatsApp automation (lost access, not in repo)</t>
        </is>
      </c>
      <c r="B20" s="7" t="inlineStr">
        <is>
          <t>Azure Logic Apps + WhatsApp Business Cloud API, or re-host n8n on Azure Container Apps</t>
        </is>
      </c>
      <c r="C20" s="7" t="inlineStr">
        <is>
          <t>Direct Logic Apps integration removes the n8n dependency entirely; re-hosting n8n is faster if old flows must be reused as-is.</t>
        </is>
      </c>
      <c r="D20" s="7" t="inlineStr">
        <is>
          <t>Low either way</t>
        </is>
      </c>
      <c r="E20" s="7" t="inlineStr">
        <is>
          <t>Yes</t>
        </is>
      </c>
    </row>
    <row r="21" ht="50" customHeight="1">
      <c r="A21" s="7" t="inlineStr">
        <is>
          <t>No infrastructure-as-code / manual setup</t>
        </is>
      </c>
      <c r="B21" s="7" t="inlineStr">
        <is>
          <t>Bicep (Azure-native IaC)</t>
        </is>
      </c>
      <c r="C21" s="7" t="inlineStr">
        <is>
          <t>Version-controlled infrastructure; matches the 'Good Repo' criteria in the FDE spine.</t>
        </is>
      </c>
      <c r="D21" s="7" t="inlineStr">
        <is>
          <t>Free (only resources it provisions cost money)</t>
        </is>
      </c>
      <c r="E21" s="7" t="inlineStr">
        <is>
          <t>Yes</t>
        </is>
      </c>
    </row>
    <row r="22" ht="50" customHeight="1">
      <c r="A22" s="7" t="inlineStr">
        <is>
          <t>No CI/CD</t>
        </is>
      </c>
      <c r="B22" s="7" t="inlineStr">
        <is>
          <t>GitHub Actions + Azure deployment</t>
        </is>
      </c>
      <c r="C22" s="7" t="inlineStr">
        <is>
          <t>Free minutes for public/student repos.</t>
        </is>
      </c>
      <c r="D22" s="7" t="inlineStr">
        <is>
          <t>Free tier</t>
        </is>
      </c>
      <c r="E22" s="7" t="inlineStr">
        <is>
          <t>Yes</t>
        </is>
      </c>
    </row>
    <row r="23" ht="50" customHeight="1">
      <c r="A23" s="7" t="inlineStr">
        <is>
          <t>PyInstaller .exe / build artifacts committed to git (dist/, build/)</t>
        </is>
      </c>
      <c r="B23" s="7" t="inlineStr">
        <is>
          <t>Azure Container Apps (containerized deployment)</t>
        </is>
      </c>
      <c r="C23" s="7" t="inlineStr">
        <is>
          <t>Removes committed build binaries from git entirely; standard container build in CI instead.</t>
        </is>
      </c>
      <c r="D23" s="7" t="inlineStr">
        <is>
          <t>Low</t>
        </is>
      </c>
      <c r="E23" s="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  <col width="30" customWidth="1" min="4" max="4"/>
  </cols>
  <sheetData>
    <row r="1">
      <c r="A1" s="1" t="inlineStr">
        <is>
          <t>Before / After KPI Tracker</t>
        </is>
      </c>
    </row>
    <row r="2">
      <c r="A2" s="2" t="inlineStr">
        <is>
          <t>Per FDE spine Section 3 — adapted to CDPI. Most 'Before' values read 'Not yet measured' because no baseline exists today; that gap is Stage 4 of the tracker.</t>
        </is>
      </c>
    </row>
    <row r="3">
      <c r="A3" s="11" t="inlineStr">
        <is>
          <t>KPI Family</t>
        </is>
      </c>
      <c r="B3" s="11" t="inlineStr">
        <is>
          <t>Before (Current State)</t>
        </is>
      </c>
      <c r="C3" s="11" t="inlineStr">
        <is>
          <t>After (Target, once instrumented)</t>
        </is>
      </c>
      <c r="D3" s="11" t="inlineStr">
        <is>
          <t>Data Source</t>
        </is>
      </c>
    </row>
    <row r="4" ht="48" customHeight="1">
      <c r="A4" s="7" t="inlineStr">
        <is>
          <t>Cycle Time</t>
        </is>
      </c>
      <c r="B4" s="7" t="inlineStr">
        <is>
          <t>Not yet measured — no timestamped baseline of manual screening time per resume exists.</t>
        </is>
      </c>
      <c r="C4" s="7" t="inlineStr">
        <is>
          <t>P50/P95 time from resume upload to ranked tier, per candidate.</t>
        </is>
      </c>
      <c r="D4" s="7" t="inlineStr">
        <is>
          <t>Application Insights trace</t>
        </is>
      </c>
    </row>
    <row r="5" ht="48" customHeight="1">
      <c r="A5" s="7" t="inlineStr">
        <is>
          <t>Manual Effort</t>
        </is>
      </c>
      <c r="B5" s="7" t="inlineStr">
        <is>
          <t>Not yet measured — FTE hours per resume not tracked.</t>
        </is>
      </c>
      <c r="C5" s="7" t="inlineStr">
        <is>
          <t>Human review effort retained only for the 'To be Considered' tier.</t>
        </is>
      </c>
      <c r="D5" s="7" t="inlineStr">
        <is>
          <t>Dashboard review-queue logs</t>
        </is>
      </c>
    </row>
    <row r="6" ht="48" customHeight="1">
      <c r="A6" s="7" t="inlineStr">
        <is>
          <t>Decision Quality</t>
        </is>
      </c>
      <c r="B6" s="7" t="inlineStr">
        <is>
          <t>Not yet measured — no ground truth / hiring-outcome labels linked back to scores.</t>
        </is>
      </c>
      <c r="C6" s="7" t="inlineStr">
        <is>
          <t>Model accuracy vs. actual hire outcome, override rate by reviewers.</t>
        </is>
      </c>
      <c r="D6" s="7" t="inlineStr">
        <is>
          <t>Cosmos DB scoring_history + hire outcomes</t>
        </is>
      </c>
    </row>
    <row r="7" ht="48" customHeight="1">
      <c r="A7" s="7" t="inlineStr">
        <is>
          <t>Audit Coverage</t>
        </is>
      </c>
      <c r="B7" s="7" t="inlineStr">
        <is>
          <t>None — log.txt is freeform text, not queryable evidence.</t>
        </is>
      </c>
      <c r="C7" s="7" t="inlineStr">
        <is>
          <t>100% of scoring decisions traceable via audit_log container.</t>
        </is>
      </c>
      <c r="D7" s="7" t="inlineStr">
        <is>
          <t>Cosmos DB audit_log</t>
        </is>
      </c>
    </row>
    <row r="8" ht="48" customHeight="1">
      <c r="A8" s="7" t="inlineStr">
        <is>
          <t>Reliability</t>
        </is>
      </c>
      <c r="B8" s="7" t="inlineStr">
        <is>
          <t>Not yet measured — no uptime/error-rate tracking exists for any script.</t>
        </is>
      </c>
      <c r="C8" s="7" t="inlineStr">
        <is>
          <t>Availability %, error rate, recovery time once Functions/Event Grid pipeline is live.</t>
        </is>
      </c>
      <c r="D8" s="7" t="inlineStr">
        <is>
          <t>Azure Monitor</t>
        </is>
      </c>
    </row>
    <row r="9" ht="48" customHeight="1">
      <c r="A9" s="7" t="inlineStr">
        <is>
          <t>Latency</t>
        </is>
      </c>
      <c r="B9" s="7" t="inlineStr">
        <is>
          <t>Not yet measured — no per-call timing captured.</t>
        </is>
      </c>
      <c r="C9" s="7" t="inlineStr">
        <is>
          <t>P50/P95/P99 latency for parse-to-score pipeline.</t>
        </is>
      </c>
      <c r="D9" s="7" t="inlineStr">
        <is>
          <t>Application Insights</t>
        </is>
      </c>
    </row>
    <row r="10" ht="48" customHeight="1">
      <c r="A10" s="7" t="inlineStr">
        <is>
          <t>Scalability</t>
        </is>
      </c>
      <c r="B10" s="7" t="inlineStr">
        <is>
          <t>Unknown — single-threaded local script, no load testing ever performed.</t>
        </is>
      </c>
      <c r="C10" s="7" t="inlineStr">
        <is>
          <t>Validated concurrent-resume throughput under Functions autoscaling.</t>
        </is>
      </c>
      <c r="D10" s="7" t="inlineStr">
        <is>
          <t>Load test results</t>
        </is>
      </c>
    </row>
    <row r="11" ht="48" customHeight="1">
      <c r="A11" s="7" t="inlineStr">
        <is>
          <t>Security Posture</t>
        </is>
      </c>
      <c r="B11" s="7" t="inlineStr">
        <is>
          <t>5 hardcoded secrets found this session (now fixed); no RBAC, no Key Vault.</t>
        </is>
      </c>
      <c r="C11" s="7" t="inlineStr">
        <is>
          <t>Least-privilege via Managed Identity, zero secrets in source, Key Vault-only access.</t>
        </is>
      </c>
      <c r="D11" s="7" t="inlineStr">
        <is>
          <t>Security_Remediation_Log tab</t>
        </is>
      </c>
    </row>
    <row r="12" ht="48" customHeight="1">
      <c r="A12" s="7" t="inlineStr">
        <is>
          <t>Cost per Case</t>
        </is>
      </c>
      <c r="B12" s="7" t="inlineStr">
        <is>
          <t>Not yet measured — no token or infra cost tracking exists.</t>
        </is>
      </c>
      <c r="C12" s="7" t="inlineStr">
        <is>
          <t>Cost per successfully scored candidate (tokens + infra + storage).</t>
        </is>
      </c>
      <c r="D12" s="7" t="inlineStr">
        <is>
          <t>Azure Cost Management + token logs</t>
        </is>
      </c>
    </row>
    <row r="13" ht="48" customHeight="1">
      <c r="A13" s="7" t="inlineStr">
        <is>
          <t>Token Usage</t>
        </is>
      </c>
      <c r="B13" s="7" t="inlineStr">
        <is>
          <t>Not tracked at all — no logging of input/output tokens on any of the 7 LLM call sites.</t>
        </is>
      </c>
      <c r="C13" s="7" t="inlineStr">
        <is>
          <t>Tokens per resume/interview/question-set, tracked per prompt (see /prompts registry).</t>
        </is>
      </c>
      <c r="D13" s="7" t="inlineStr">
        <is>
          <t>App-level token logging -&gt; App Insights</t>
        </is>
      </c>
    </row>
    <row r="14" ht="48" customHeight="1">
      <c r="A14" s="7" t="inlineStr">
        <is>
          <t>TCO</t>
        </is>
      </c>
      <c r="B14" s="7" t="inlineStr">
        <is>
          <t>Not modeled — GPT-3.5-turbo + ElevenLabs + local compute costs never aggregated.</t>
        </is>
      </c>
      <c r="C14" s="7" t="inlineStr">
        <is>
          <t>AI platform + inference + infrastructure + people + ops, consolidated model.</t>
        </is>
      </c>
      <c r="D14" s="7" t="inlineStr">
        <is>
          <t>Azure Cost Management</t>
        </is>
      </c>
    </row>
    <row r="15" ht="48" customHeight="1">
      <c r="A15" s="7" t="inlineStr">
        <is>
          <t>Adoption / Automation Rate</t>
        </is>
      </c>
      <c r="B15" s="7" t="inlineStr">
        <is>
          <t>Not yet measured — unclear what % of candidates are fully auto-processed vs. need manual intervention.</t>
        </is>
      </c>
      <c r="C15" s="7" t="inlineStr">
        <is>
          <t>% automated end-to-end vs. requiring human review.</t>
        </is>
      </c>
      <c r="D15" s="7" t="inlineStr">
        <is>
          <t>Dashboard pipeline funnel</t>
        </is>
      </c>
    </row>
    <row r="16" ht="48" customHeight="1">
      <c r="A16" s="7" t="inlineStr">
        <is>
          <t>Business Value</t>
        </is>
      </c>
      <c r="B16" s="7" t="inlineStr">
        <is>
          <t>Not modeled — no cost-of-manual-screening baseline to compare against.</t>
        </is>
      </c>
      <c r="C16" s="7" t="inlineStr">
        <is>
          <t>ROI/NPV once baseline + after-KPIs both exist (Stages 4, 34-36).</t>
        </is>
      </c>
      <c r="D16" s="7" t="inlineStr">
        <is>
          <t>Executive Defence doc (Stage 42)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6" customWidth="1" min="3" max="3"/>
    <col width="40" customWidth="1" min="4" max="4"/>
    <col width="15" customWidth="1" min="5" max="5"/>
    <col width="40" customWidth="1" min="6" max="6"/>
  </cols>
  <sheetData>
    <row r="1">
      <c r="A1" s="1" t="inlineStr">
        <is>
          <t>Security Remediation Log</t>
        </is>
      </c>
    </row>
    <row r="2">
      <c r="A2" s="2" t="inlineStr">
        <is>
          <t>What was found and fixed in this session (FDE Stage 24 evidence)</t>
        </is>
      </c>
    </row>
    <row r="3">
      <c r="A3" s="11" t="inlineStr">
        <is>
          <t>Item</t>
        </is>
      </c>
      <c r="B3" s="11" t="inlineStr">
        <is>
          <t>File(s)</t>
        </is>
      </c>
      <c r="C3" s="11" t="inlineStr">
        <is>
          <t>Issue</t>
        </is>
      </c>
      <c r="D3" s="11" t="inlineStr">
        <is>
          <t>Action Taken</t>
        </is>
      </c>
      <c r="E3" s="11" t="inlineStr">
        <is>
          <t>Status</t>
        </is>
      </c>
      <c r="F3" s="11" t="inlineStr">
        <is>
          <t>Residual Risk</t>
        </is>
      </c>
    </row>
    <row r="4" ht="55" customHeight="1">
      <c r="A4" s="7" t="inlineStr">
        <is>
          <t>OpenAI API key (primary)</t>
        </is>
      </c>
      <c r="B4" s="7" t="inlineStr">
        <is>
          <t>.env</t>
        </is>
      </c>
      <c r="C4" s="7" t="inlineStr">
        <is>
          <t>Live key committed in plaintext.</t>
        </is>
      </c>
      <c r="D4" s="7" t="inlineStr">
        <is>
          <t>Untracked from git (already in .gitignore).</t>
        </is>
      </c>
      <c r="E4" s="13" t="inlineStr">
        <is>
          <t>Done</t>
        </is>
      </c>
      <c r="F4" s="7" t="inlineStr">
        <is>
          <t>Still in git history — rotate at platform.openai.com regardless.</t>
        </is>
      </c>
    </row>
    <row r="5" ht="55" customHeight="1">
      <c r="A5" s="7" t="inlineStr">
        <is>
          <t>OpenAI API key (duplicated in source)</t>
        </is>
      </c>
      <c r="B5" s="7" t="inlineStr">
        <is>
          <t>ResumeParser.py, generate_questions.py, voicebot/voice_bot.py</t>
        </is>
      </c>
      <c r="C5" s="7" t="inlineStr">
        <is>
          <t>Same key hardcoded directly in 3 source files.</t>
        </is>
      </c>
      <c r="D5" s="7" t="inlineStr">
        <is>
          <t>Replaced with os.environ lookup via python-dotenv; fails fast with a clear error if missing.</t>
        </is>
      </c>
      <c r="E5" s="13" t="inlineStr">
        <is>
          <t>Done</t>
        </is>
      </c>
      <c r="F5" s="7" t="inlineStr">
        <is>
          <t>Same underlying key as above — one rotation fixes all 4 locations.</t>
        </is>
      </c>
    </row>
    <row r="6" ht="55" customHeight="1">
      <c r="A6" s="7" t="inlineStr">
        <is>
          <t>Gmail app password</t>
        </is>
      </c>
      <c r="B6" s="7" t="inlineStr">
        <is>
          <t>config/email_credentials.json, file_watcher.py</t>
        </is>
      </c>
      <c r="C6" s="7" t="inlineStr">
        <is>
          <t>Live app password in plaintext in 2 locations.</t>
        </is>
      </c>
      <c r="D6" s="7" t="inlineStr">
        <is>
          <t>Untracked config file + env var lookup (GMAIL_WATCHER_USER/PASSWORD) added to code.</t>
        </is>
      </c>
      <c r="E6" s="13" t="inlineStr">
        <is>
          <t>Done</t>
        </is>
      </c>
      <c r="F6" s="7" t="inlineStr">
        <is>
          <t>Rotate the Gmail app password.</t>
        </is>
      </c>
    </row>
    <row r="7" ht="55" customHeight="1">
      <c r="A7" s="7" t="inlineStr">
        <is>
          <t>ElevenLabs API key</t>
        </is>
      </c>
      <c r="B7" s="7" t="inlineStr">
        <is>
          <t>voicebot/config.json, voicebot/elevenlabs_utils.py</t>
        </is>
      </c>
      <c r="C7" s="7" t="inlineStr">
        <is>
          <t>Live key in plaintext in 2 locations.</t>
        </is>
      </c>
      <c r="D7" s="7" t="inlineStr">
        <is>
          <t>Untracked config file + code now actually reads from config.json (was unused/dead before).</t>
        </is>
      </c>
      <c r="E7" s="13" t="inlineStr">
        <is>
          <t>Done</t>
        </is>
      </c>
      <c r="F7" s="7" t="inlineStr">
        <is>
          <t>Rotate the ElevenLabs key.</t>
        </is>
      </c>
    </row>
    <row r="8" ht="55" customHeight="1">
      <c r="A8" s="7" t="inlineStr">
        <is>
          <t>Example/template files</t>
        </is>
      </c>
      <c r="B8" s="7" t="inlineStr">
        <is>
          <t>.env.example, config/email_credentials.json.example, voicebot/config.json.example</t>
        </is>
      </c>
      <c r="C8" s="7" t="inlineStr">
        <is>
          <t>No templates existed — fresh clone had no way to know what to configure.</t>
        </is>
      </c>
      <c r="D8" s="7" t="inlineStr">
        <is>
          <t>Created placeholder templates.</t>
        </is>
      </c>
      <c r="E8" s="13" t="inlineStr">
        <is>
          <t>Done</t>
        </is>
      </c>
      <c r="F8" s="7" t="inlineStr">
        <is>
          <t>—</t>
        </is>
      </c>
    </row>
    <row r="9" ht="55" customHeight="1">
      <c r="A9" s="7" t="inlineStr">
        <is>
          <t>Git history</t>
        </is>
      </c>
      <c r="B9" s="7" t="inlineStr">
        <is>
          <t>All of the above</t>
        </is>
      </c>
      <c r="C9" s="7" t="inlineStr">
        <is>
          <t>Old keys remain in prior commits; may already be public if this repo was ever pushed to GitHub.</t>
        </is>
      </c>
      <c r="D9" s="7" t="inlineStr">
        <is>
          <t>Not addressed — requires history rewrite + force-push, deferred for now.</t>
        </is>
      </c>
      <c r="E9" s="12" t="inlineStr">
        <is>
          <t>Open</t>
        </is>
      </c>
      <c r="F9" s="7" t="inlineStr">
        <is>
          <t>Recommend git filter-repo + force-push + rotate all keys regardless of whether history is rewritten.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5" customWidth="1" min="3" max="3"/>
    <col width="28" customWidth="1" min="4" max="4"/>
    <col width="32" customWidth="1" min="5" max="5"/>
    <col width="40" customWidth="1" min="6" max="6"/>
  </cols>
  <sheetData>
    <row r="1">
      <c r="A1" s="1" t="inlineStr">
        <is>
          <t>Vendor / Concentration Risk Register</t>
        </is>
      </c>
    </row>
    <row r="2">
      <c r="A2" s="2" t="inlineStr">
        <is>
          <t>Per FDE spine Section 16</t>
        </is>
      </c>
    </row>
    <row r="3">
      <c r="A3" s="11" t="inlineStr">
        <is>
          <t>Vendor</t>
        </is>
      </c>
      <c r="B3" s="11" t="inlineStr">
        <is>
          <t>Used For</t>
        </is>
      </c>
      <c r="C3" s="11" t="inlineStr">
        <is>
          <t>Dependency Risk</t>
        </is>
      </c>
      <c r="D3" s="11" t="inlineStr">
        <is>
          <t>Portability</t>
        </is>
      </c>
      <c r="E3" s="11" t="inlineStr">
        <is>
          <t>Azure-Native Alternative</t>
        </is>
      </c>
      <c r="F3" s="11" t="inlineStr">
        <is>
          <t>Notes</t>
        </is>
      </c>
    </row>
    <row r="4" ht="50" customHeight="1">
      <c r="A4" s="7" t="inlineStr">
        <is>
          <t>OpenAI</t>
        </is>
      </c>
      <c r="B4" s="7" t="inlineStr">
        <is>
          <t>LLM — parsing, scoring, interview questions, voicebot (7 call sites)</t>
        </is>
      </c>
      <c r="C4" s="12" t="inlineStr">
        <is>
          <t>High</t>
        </is>
      </c>
      <c r="D4" s="7" t="inlineStr">
        <is>
          <t>Medium (LangChain abstracts the provider)</t>
        </is>
      </c>
      <c r="E4" s="7" t="inlineStr">
        <is>
          <t>Azure AI Foundry Models</t>
        </is>
      </c>
      <c r="F4" s="7" t="inlineStr">
        <is>
          <t>Needs Azure OpenAI/Foundry approval on the student subscription.</t>
        </is>
      </c>
    </row>
    <row r="5" ht="50" customHeight="1">
      <c r="A5" s="7" t="inlineStr">
        <is>
          <t>ElevenLabs</t>
        </is>
      </c>
      <c r="B5" s="7" t="inlineStr">
        <is>
          <t>Text-to-speech for the voicebot</t>
        </is>
      </c>
      <c r="C5" s="14" t="inlineStr">
        <is>
          <t>Medium</t>
        </is>
      </c>
      <c r="D5" s="7" t="inlineStr">
        <is>
          <t>High</t>
        </is>
      </c>
      <c r="E5" s="7" t="inlineStr">
        <is>
          <t>Azure AI Speech</t>
        </is>
      </c>
      <c r="F5" s="7" t="inlineStr">
        <is>
          <t>Low switching cost; key was hardcoded, now fixed.</t>
        </is>
      </c>
    </row>
    <row r="6" ht="50" customHeight="1">
      <c r="A6" s="7" t="inlineStr">
        <is>
          <t>Google (Web Speech API via speech_recognition)</t>
        </is>
      </c>
      <c r="B6" s="7" t="inlineStr">
        <is>
          <t>Speech-to-text for the voicebot</t>
        </is>
      </c>
      <c r="C6" s="14" t="inlineStr">
        <is>
          <t>Medium</t>
        </is>
      </c>
      <c r="D6" s="7" t="inlineStr">
        <is>
          <t>High</t>
        </is>
      </c>
      <c r="E6" s="7" t="inlineStr">
        <is>
          <t>Azure AI Speech</t>
        </is>
      </c>
      <c r="F6" s="7" t="inlineStr">
        <is>
          <t>Free tier has undocumented rate limits for production use; consolidate with ElevenLabs replacement.</t>
        </is>
      </c>
    </row>
    <row r="7" ht="50" customHeight="1">
      <c r="A7" s="7" t="inlineStr">
        <is>
          <t>n8n (self-hosted, access lost)</t>
        </is>
      </c>
      <c r="B7" s="7" t="inlineStr">
        <is>
          <t>WhatsApp candidate notifications</t>
        </is>
      </c>
      <c r="C7" s="12" t="inlineStr">
        <is>
          <t>High</t>
        </is>
      </c>
      <c r="D7" s="7" t="inlineStr">
        <is>
          <t>Low (flow logic unrecovered)</t>
        </is>
      </c>
      <c r="E7" s="7" t="inlineStr">
        <is>
          <t>Azure Logic Apps + WhatsApp Business Cloud API</t>
        </is>
      </c>
      <c r="F7" s="7" t="inlineStr">
        <is>
          <t>Rebuild from scratch; document before formally 'retiring' per FDE Stage 41.</t>
        </is>
      </c>
    </row>
    <row r="8" ht="50" customHeight="1">
      <c r="A8" s="7" t="inlineStr">
        <is>
          <t>Gmail / IMAP</t>
        </is>
      </c>
      <c r="B8" s="7" t="inlineStr">
        <is>
          <t>Resume ingestion + interview slot download</t>
        </is>
      </c>
      <c r="C8" s="14" t="inlineStr">
        <is>
          <t>Medium</t>
        </is>
      </c>
      <c r="D8" s="7" t="inlineStr">
        <is>
          <t>Medium</t>
        </is>
      </c>
      <c r="E8" s="7" t="inlineStr">
        <is>
          <t>Microsoft Graph / Azure Communication Services</t>
        </is>
      </c>
      <c r="F8" s="7" t="inlineStr">
        <is>
          <t>Consumer Gmail account used for business automation with legacy app-password auth.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2026-10-14T13:38:14Z</dcterms:created>
  <dcterms:modified xmlns:dcterms="http://purl.org/dc/terms/" xmlns:xsi="http://www.w3.org/2001/XMLSchema-instance" xsi:type="dcterms:W3CDTF">2026-10-14T13:38:14Z</dcterms:modified>
</cp:coreProperties>
</file>